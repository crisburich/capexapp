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rmacity.sharepoint.com/sites/PerformanceEficiencia/Shared Documents/2025/Automatización/Tablero CAPEX/app ajuste roi/"/>
    </mc:Choice>
  </mc:AlternateContent>
  <xr:revisionPtr revIDLastSave="176" documentId="13_ncr:1_{58C70089-FDDF-4DDD-8F55-2AFFFFA42B40}" xr6:coauthVersionLast="47" xr6:coauthVersionMax="47" xr10:uidLastSave="{95EA5BE7-EA0F-4DC3-8273-2D144AC6C6E8}"/>
  <bookViews>
    <workbookView xWindow="-108" yWindow="-108" windowWidth="23256" windowHeight="13896" activeTab="2" xr2:uid="{B117CEED-1A99-47C6-982B-3272E3DCE7F9}"/>
  </bookViews>
  <sheets>
    <sheet name="IPC" sheetId="1" r:id="rId1"/>
    <sheet name="Hoja1" sheetId="2" state="hidden" r:id="rId2"/>
    <sheet name="pautas_py" sheetId="3" r:id="rId3"/>
    <sheet name="notes" sheetId="4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" i="1" l="1"/>
  <c r="AM4" i="1"/>
  <c r="AL4" i="1"/>
  <c r="AN3" i="1"/>
  <c r="AN8" i="1"/>
  <c r="AO8" i="1" s="1"/>
  <c r="AN9" i="1"/>
  <c r="AO9" i="1" s="1"/>
  <c r="BI3" i="3"/>
  <c r="BH3" i="3"/>
  <c r="BG3" i="3"/>
  <c r="BF3" i="3"/>
  <c r="BE3" i="3"/>
  <c r="BD3" i="3"/>
  <c r="BC3" i="3"/>
  <c r="BB3" i="3"/>
  <c r="BA3" i="3"/>
  <c r="AZ3" i="3"/>
  <c r="AY3" i="3"/>
  <c r="AX3" i="3"/>
  <c r="BI2" i="3"/>
  <c r="BH2" i="3"/>
  <c r="BG2" i="3"/>
  <c r="BF2" i="3"/>
  <c r="BE2" i="3"/>
  <c r="BD2" i="3"/>
  <c r="BC2" i="3"/>
  <c r="BB2" i="3"/>
  <c r="BA2" i="3"/>
  <c r="AZ2" i="3"/>
  <c r="AY2" i="3"/>
  <c r="AX2" i="3"/>
  <c r="AM8" i="1"/>
  <c r="AM9" i="1"/>
  <c r="AM3" i="1"/>
  <c r="AL3" i="1" l="1"/>
  <c r="AL8" i="1"/>
  <c r="AL9" i="1"/>
  <c r="AK3" i="1"/>
  <c r="AK4" i="1"/>
  <c r="AJ3" i="1"/>
  <c r="AJ4" i="1"/>
  <c r="AI4" i="1"/>
  <c r="AI3" i="1"/>
  <c r="AH4" i="1"/>
  <c r="AH3" i="1"/>
  <c r="AG3" i="1"/>
  <c r="AF3" i="1"/>
  <c r="AE3" i="1"/>
  <c r="AE2" i="2"/>
  <c r="AF2" i="2"/>
  <c r="AG2" i="2"/>
  <c r="AH2" i="2"/>
  <c r="AI2" i="2"/>
  <c r="AJ2" i="2"/>
  <c r="AK2" i="2"/>
  <c r="AD2" i="2"/>
  <c r="AD3" i="1"/>
  <c r="AC3" i="1"/>
  <c r="AB2" i="2"/>
  <c r="AC3" i="2" s="1"/>
  <c r="AB3" i="1"/>
  <c r="AA3" i="1"/>
  <c r="AK6" i="1"/>
  <c r="AJ6" i="1"/>
  <c r="AI6" i="1"/>
  <c r="AH6" i="1"/>
  <c r="AG6" i="1"/>
  <c r="AF6" i="1"/>
  <c r="AE6" i="1"/>
  <c r="AD6" i="1"/>
  <c r="AC6" i="1"/>
  <c r="AB6" i="1"/>
  <c r="AA6" i="1"/>
  <c r="B9" i="2"/>
  <c r="C8" i="2"/>
  <c r="C9" i="2" s="1"/>
  <c r="AK6" i="2"/>
  <c r="AJ6" i="2"/>
  <c r="AI6" i="2"/>
  <c r="AH6" i="2"/>
  <c r="AG6" i="2"/>
  <c r="AF6" i="2"/>
  <c r="AE6" i="2"/>
  <c r="AD6" i="2"/>
  <c r="AC6" i="2"/>
  <c r="AB6" i="2"/>
  <c r="AA6" i="2"/>
  <c r="Z6" i="2"/>
  <c r="Z4" i="2"/>
  <c r="AA4" i="2" s="1"/>
  <c r="N4" i="2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B9" i="1"/>
  <c r="C8" i="1"/>
  <c r="Z6" i="1"/>
  <c r="D8" i="2" l="1"/>
  <c r="D9" i="2" s="1"/>
  <c r="AB4" i="2"/>
  <c r="AC4" i="2" s="1"/>
  <c r="AD4" i="2" s="1"/>
  <c r="AE4" i="2" s="1"/>
  <c r="AF4" i="2" s="1"/>
  <c r="AG4" i="2" s="1"/>
  <c r="AH4" i="2" s="1"/>
  <c r="AI4" i="2" s="1"/>
  <c r="AJ4" i="2" s="1"/>
  <c r="AK4" i="2" s="1"/>
  <c r="AB3" i="2"/>
  <c r="AD3" i="2"/>
  <c r="AG3" i="2"/>
  <c r="AJ3" i="2"/>
  <c r="AH3" i="2"/>
  <c r="AK3" i="2"/>
  <c r="AE3" i="2"/>
  <c r="AF3" i="2"/>
  <c r="AI3" i="2"/>
  <c r="C9" i="1"/>
  <c r="D8" i="1"/>
  <c r="Z4" i="1"/>
  <c r="AA4" i="1" s="1"/>
  <c r="AB4" i="1" s="1"/>
  <c r="AC4" i="1" s="1"/>
  <c r="AD4" i="1" s="1"/>
  <c r="AE4" i="1" s="1"/>
  <c r="AF4" i="1" s="1"/>
  <c r="AG4" i="1" s="1"/>
  <c r="N4" i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3" i="1"/>
  <c r="Y3" i="1"/>
  <c r="X3" i="1"/>
  <c r="W3" i="1"/>
  <c r="V3" i="1"/>
  <c r="U3" i="1"/>
  <c r="T3" i="1"/>
  <c r="S3" i="1"/>
  <c r="R3" i="1"/>
  <c r="Q3" i="1"/>
  <c r="P3" i="1"/>
  <c r="O3" i="1"/>
  <c r="N3" i="1"/>
  <c r="E8" i="2" l="1"/>
  <c r="F8" i="2" s="1"/>
  <c r="E8" i="1"/>
  <c r="D9" i="1"/>
  <c r="E9" i="2" l="1"/>
  <c r="F8" i="1"/>
  <c r="E9" i="1"/>
  <c r="G8" i="2"/>
  <c r="F9" i="2"/>
  <c r="G8" i="1" l="1"/>
  <c r="F9" i="1"/>
  <c r="H8" i="2"/>
  <c r="G9" i="2"/>
  <c r="H8" i="1" l="1"/>
  <c r="G9" i="1"/>
  <c r="I8" i="2"/>
  <c r="H9" i="2"/>
  <c r="I8" i="1" l="1"/>
  <c r="H9" i="1"/>
  <c r="I9" i="2"/>
  <c r="J8" i="2"/>
  <c r="J8" i="1" l="1"/>
  <c r="I9" i="1"/>
  <c r="J9" i="2"/>
  <c r="K8" i="2"/>
  <c r="K8" i="1" l="1"/>
  <c r="J9" i="1"/>
  <c r="L8" i="2"/>
  <c r="K9" i="2"/>
  <c r="L8" i="1" l="1"/>
  <c r="K9" i="1"/>
  <c r="L9" i="2"/>
  <c r="M8" i="2"/>
  <c r="M8" i="1" l="1"/>
  <c r="L9" i="1"/>
  <c r="M9" i="2"/>
  <c r="N8" i="2"/>
  <c r="N8" i="1" l="1"/>
  <c r="M9" i="1"/>
  <c r="O8" i="2"/>
  <c r="N9" i="2"/>
  <c r="O8" i="1" l="1"/>
  <c r="N9" i="1"/>
  <c r="P8" i="2"/>
  <c r="O9" i="2"/>
  <c r="P8" i="1" l="1"/>
  <c r="O9" i="1"/>
  <c r="Q8" i="2"/>
  <c r="P9" i="2"/>
  <c r="Q8" i="1" l="1"/>
  <c r="P9" i="1"/>
  <c r="Q9" i="2"/>
  <c r="R8" i="2"/>
  <c r="R8" i="1" l="1"/>
  <c r="Q9" i="1"/>
  <c r="R9" i="2"/>
  <c r="S8" i="2"/>
  <c r="S8" i="1" l="1"/>
  <c r="R9" i="1"/>
  <c r="T8" i="2"/>
  <c r="S9" i="2"/>
  <c r="T8" i="1" l="1"/>
  <c r="S9" i="1"/>
  <c r="T9" i="2"/>
  <c r="U8" i="2"/>
  <c r="U8" i="1" l="1"/>
  <c r="T9" i="1"/>
  <c r="U9" i="2"/>
  <c r="V8" i="2"/>
  <c r="V8" i="1" l="1"/>
  <c r="U9" i="1"/>
  <c r="W8" i="2"/>
  <c r="V9" i="2"/>
  <c r="W8" i="1" l="1"/>
  <c r="V9" i="1"/>
  <c r="X8" i="2"/>
  <c r="W9" i="2"/>
  <c r="X8" i="1" l="1"/>
  <c r="W9" i="1"/>
  <c r="Y8" i="2"/>
  <c r="X9" i="2"/>
  <c r="Y8" i="1" l="1"/>
  <c r="X9" i="1"/>
  <c r="Y9" i="2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Z8" i="2"/>
  <c r="AA8" i="2" s="1"/>
  <c r="AB8" i="2" s="1"/>
  <c r="AC8" i="2" s="1"/>
  <c r="AD8" i="2" s="1"/>
  <c r="AE8" i="2" s="1"/>
  <c r="AF8" i="2" s="1"/>
  <c r="AG8" i="2" s="1"/>
  <c r="AH8" i="2" s="1"/>
  <c r="AI8" i="2" s="1"/>
  <c r="AJ8" i="2" s="1"/>
  <c r="AK8" i="2" s="1"/>
  <c r="Z8" i="1" l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Y9" i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</calcChain>
</file>

<file path=xl/sharedStrings.xml><?xml version="1.0" encoding="utf-8"?>
<sst xmlns="http://schemas.openxmlformats.org/spreadsheetml/2006/main" count="20" uniqueCount="12">
  <si>
    <t>Mensual Real</t>
  </si>
  <si>
    <t>Interanual</t>
  </si>
  <si>
    <t>Acumulado</t>
  </si>
  <si>
    <t>Mensual Ppto</t>
  </si>
  <si>
    <t>Interanual Ppto</t>
  </si>
  <si>
    <t>Acumulado Ppto</t>
  </si>
  <si>
    <t>valor real</t>
  </si>
  <si>
    <t>valor presupuesto</t>
  </si>
  <si>
    <t>ipc</t>
  </si>
  <si>
    <t>dólar bna</t>
  </si>
  <si>
    <t>agregar dato real cuando se publica</t>
  </si>
  <si>
    <t>ir pisando real en pautas_py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</si>
</sst>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%"/>
    <numFmt numFmtId="166" formatCode="_-* #,##0_-;\-* #,##0_-;_-* &quot;-&quot;??_-;_-@_-"/>
    <numFmt numFmtId="167" formatCode="0.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 Light"/>
      <family val="2"/>
    </font>
    <font>
      <sz val="11"/>
      <color theme="1"/>
      <name val="Calibri Light"/>
      <family val="2"/>
    </font>
    <font>
      <sz val="11"/>
      <color theme="3" tint="0.249977111117893"/>
      <name val="Calibri Light"/>
      <family val="2"/>
    </font>
    <font>
      <b/>
      <sz val="11"/>
      <color theme="3" tint="0.249977111117893"/>
      <name val="Calibri Light"/>
      <family val="2"/>
    </font>
    <font>
      <sz val="11"/>
      <color theme="9" tint="-0.249977111117893"/>
      <name val="Calibri Light"/>
      <family val="2"/>
    </font>
    <font>
      <b/>
      <sz val="11"/>
      <color theme="9" tint="-0.249977111117893"/>
      <name val="Calibri Light"/>
      <family val="2"/>
    </font>
    <font>
      <b/>
      <sz val="11"/>
      <color theme="1"/>
      <name val="Calibri Light"/>
      <family val="2"/>
    </font>
    <font>
      <b/>
      <sz val="11"/>
      <color theme="0"/>
      <name val="Aptos Narrow"/>
      <family val="2"/>
      <scheme val="minor"/>
    </font>
    <font>
      <b/>
      <sz val="8"/>
      <name val="Arial"/>
      <family val="2"/>
    </font>
    <font>
      <b/>
      <sz val="8"/>
      <color theme="9" tint="-0.499984740745262"/>
      <name val="Arial"/>
      <family val="2"/>
    </font>
    <font>
      <sz val="11"/>
      <color rgb="FF002060"/>
      <name val="Aptos Narrow"/>
      <family val="2"/>
      <scheme val="minor"/>
    </font>
    <font>
      <b/>
      <sz val="11"/>
      <color rgb="FF00206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1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1" applyNumberFormat="1" applyFont="1"/>
    <xf numFmtId="0" fontId="3" fillId="0" borderId="0" xfId="0" applyFont="1"/>
    <xf numFmtId="165" fontId="3" fillId="0" borderId="0" xfId="0" applyNumberFormat="1" applyFont="1"/>
    <xf numFmtId="0" fontId="4" fillId="3" borderId="0" xfId="0" applyFont="1" applyFill="1" applyAlignment="1">
      <alignment horizontal="center"/>
    </xf>
    <xf numFmtId="165" fontId="5" fillId="3" borderId="0" xfId="1" applyNumberFormat="1" applyFont="1" applyFill="1"/>
    <xf numFmtId="0" fontId="3" fillId="2" borderId="0" xfId="0" applyFont="1" applyFill="1" applyAlignment="1">
      <alignment horizontal="center"/>
    </xf>
    <xf numFmtId="165" fontId="7" fillId="2" borderId="0" xfId="1" applyNumberFormat="1" applyFont="1" applyFill="1"/>
    <xf numFmtId="165" fontId="7" fillId="2" borderId="0" xfId="0" applyNumberFormat="1" applyFont="1" applyFill="1"/>
    <xf numFmtId="165" fontId="7" fillId="2" borderId="1" xfId="0" applyNumberFormat="1" applyFont="1" applyFill="1" applyBorder="1"/>
    <xf numFmtId="166" fontId="3" fillId="0" borderId="0" xfId="2" applyNumberFormat="1" applyFont="1"/>
    <xf numFmtId="166" fontId="3" fillId="0" borderId="0" xfId="0" applyNumberFormat="1" applyFont="1"/>
    <xf numFmtId="0" fontId="8" fillId="4" borderId="0" xfId="0" applyFont="1" applyFill="1" applyAlignment="1">
      <alignment horizontal="center"/>
    </xf>
    <xf numFmtId="165" fontId="6" fillId="2" borderId="1" xfId="0" applyNumberFormat="1" applyFont="1" applyFill="1" applyBorder="1"/>
    <xf numFmtId="10" fontId="6" fillId="2" borderId="1" xfId="0" applyNumberFormat="1" applyFont="1" applyFill="1" applyBorder="1"/>
    <xf numFmtId="165" fontId="0" fillId="0" borderId="0" xfId="1" applyNumberFormat="1" applyFont="1"/>
    <xf numFmtId="17" fontId="9" fillId="5" borderId="2" xfId="0" applyNumberFormat="1" applyFont="1" applyFill="1" applyBorder="1" applyAlignment="1">
      <alignment horizontal="center"/>
    </xf>
    <xf numFmtId="17" fontId="9" fillId="6" borderId="2" xfId="0" applyNumberFormat="1" applyFont="1" applyFill="1" applyBorder="1" applyAlignment="1">
      <alignment horizontal="center"/>
    </xf>
    <xf numFmtId="3" fontId="0" fillId="0" borderId="0" xfId="0" applyNumberFormat="1"/>
    <xf numFmtId="10" fontId="3" fillId="0" borderId="0" xfId="0" applyNumberFormat="1" applyFont="1"/>
    <xf numFmtId="167" fontId="10" fillId="0" borderId="0" xfId="0" applyNumberFormat="1" applyFont="1"/>
    <xf numFmtId="167" fontId="11" fillId="0" borderId="0" xfId="0" applyNumberFormat="1" applyFont="1"/>
    <xf numFmtId="165" fontId="12" fillId="7" borderId="0" xfId="1" applyNumberFormat="1" applyFont="1" applyFill="1" applyBorder="1"/>
    <xf numFmtId="165" fontId="13" fillId="7" borderId="0" xfId="1" applyNumberFormat="1" applyFont="1" applyFill="1" applyBorder="1"/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2026/PPTO%202026/00.%20Pautas%20Macro/Pautas%20Macro%209+3%20y%202026.xlsx" TargetMode="External"/><Relationship Id="rId2" Type="http://schemas.openxmlformats.org/officeDocument/2006/relationships/externalLinkPath" Target="https://farmacity.sharepoint.com/sites/PerformanceEficiencia/Shared%20Documents/2026/PPTO%202026/00.%20Pautas%20Macro/Pautas%20Macro%209+3%20y%202026.xlsx" TargetMode="External"/><Relationship Id="rId1" Type="http://schemas.openxmlformats.org/officeDocument/2006/relationships/externalLinkPath" Target="/sites/PerformanceEficiencia/Shared%20Documents/2026/PPTO%202026/00.%20Pautas%20Macro/Pautas%20Macro%209+3%20y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o CDG 14.08.25"/>
      <sheetName val="Info CDG 08.09.25"/>
      <sheetName val="Info CDG 15.09.25"/>
      <sheetName val="Pautas PPTO 2025"/>
      <sheetName val="Resumen Pautas"/>
      <sheetName val="PAUTA CONSUMO"/>
      <sheetName val="pautas_py"/>
    </sheetNames>
    <sheetDataSet>
      <sheetData sheetId="0"/>
      <sheetData sheetId="1"/>
      <sheetData sheetId="2"/>
      <sheetData sheetId="3"/>
      <sheetData sheetId="4">
        <row r="2">
          <cell r="B2">
            <v>2.2100000000000002E-2</v>
          </cell>
          <cell r="C2">
            <v>2.4E-2</v>
          </cell>
          <cell r="D2">
            <v>3.73E-2</v>
          </cell>
          <cell r="E2">
            <v>2.7799999999999998E-2</v>
          </cell>
          <cell r="F2">
            <v>1.4999999999999999E-2</v>
          </cell>
          <cell r="G2">
            <v>1.6199999999999999E-2</v>
          </cell>
          <cell r="H2">
            <v>1.9E-2</v>
          </cell>
          <cell r="I2">
            <v>1.9E-2</v>
          </cell>
          <cell r="J2">
            <v>2.1999999999999999E-2</v>
          </cell>
          <cell r="K2">
            <v>2.1999999999999999E-2</v>
          </cell>
          <cell r="L2">
            <v>2.1999999999999999E-2</v>
          </cell>
          <cell r="M2">
            <v>2.3E-2</v>
          </cell>
        </row>
        <row r="7">
          <cell r="B7">
            <v>1054</v>
          </cell>
          <cell r="C7">
            <v>1065</v>
          </cell>
          <cell r="D7">
            <v>1074</v>
          </cell>
          <cell r="E7">
            <v>1171</v>
          </cell>
          <cell r="F7">
            <v>1188</v>
          </cell>
          <cell r="G7">
            <v>1205</v>
          </cell>
          <cell r="H7">
            <v>1374</v>
          </cell>
          <cell r="I7">
            <v>1337</v>
          </cell>
          <cell r="J7">
            <v>1450</v>
          </cell>
          <cell r="K7">
            <v>1475</v>
          </cell>
          <cell r="L7">
            <v>1452</v>
          </cell>
          <cell r="M7">
            <v>1480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62B84D3-A5FB-40A8-802E-2EC9D4433A8E}">
  <we:reference id="wa200005271" version="2.5.5.0" store="es-E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3E6F-20C5-4B1C-B5E9-444E4C891951}">
  <dimension ref="A1:AW11"/>
  <sheetViews>
    <sheetView topLeftCell="AF1" workbookViewId="0">
      <selection activeCell="AU10" sqref="AU10"/>
    </sheetView>
  </sheetViews>
  <sheetFormatPr baseColWidth="10" defaultColWidth="10.77734375" defaultRowHeight="14.4" outlineLevelCol="1" x14ac:dyDescent="0.3"/>
  <cols>
    <col min="1" max="1" width="18.88671875" style="5" bestFit="1" customWidth="1"/>
    <col min="2" max="10" width="9.33203125" style="5" bestFit="1" customWidth="1" outlineLevel="1"/>
    <col min="11" max="13" width="10.44140625" style="5" bestFit="1" customWidth="1" outlineLevel="1"/>
    <col min="14" max="14" width="9.33203125" style="5" bestFit="1" customWidth="1" outlineLevel="1" collapsed="1"/>
    <col min="15" max="22" width="9.33203125" style="5" bestFit="1" customWidth="1" outlineLevel="1"/>
    <col min="23" max="25" width="10.44140625" style="5" bestFit="1" customWidth="1" outlineLevel="1"/>
    <col min="26" max="26" width="9.33203125" style="5" bestFit="1" customWidth="1"/>
    <col min="27" max="36" width="11.21875" style="5" bestFit="1" customWidth="1"/>
    <col min="37" max="37" width="11.21875" style="5" customWidth="1"/>
    <col min="38" max="16384" width="10.77734375" style="5"/>
  </cols>
  <sheetData>
    <row r="1" spans="1:49" s="1" customFormat="1" ht="13.8" x14ac:dyDescent="0.3">
      <c r="B1" s="2">
        <v>44927</v>
      </c>
      <c r="C1" s="2">
        <v>44958</v>
      </c>
      <c r="D1" s="2">
        <v>44986</v>
      </c>
      <c r="E1" s="2">
        <v>45017</v>
      </c>
      <c r="F1" s="2">
        <v>45047</v>
      </c>
      <c r="G1" s="2">
        <v>45078</v>
      </c>
      <c r="H1" s="2">
        <v>45108</v>
      </c>
      <c r="I1" s="2">
        <v>45139</v>
      </c>
      <c r="J1" s="2">
        <v>45170</v>
      </c>
      <c r="K1" s="2">
        <v>45200</v>
      </c>
      <c r="L1" s="2">
        <v>45231</v>
      </c>
      <c r="M1" s="2">
        <v>45261</v>
      </c>
      <c r="N1" s="2">
        <v>45292</v>
      </c>
      <c r="O1" s="2">
        <v>45323</v>
      </c>
      <c r="P1" s="2">
        <v>45352</v>
      </c>
      <c r="Q1" s="2">
        <v>45383</v>
      </c>
      <c r="R1" s="2">
        <v>45413</v>
      </c>
      <c r="S1" s="2">
        <v>45444</v>
      </c>
      <c r="T1" s="2">
        <v>45474</v>
      </c>
      <c r="U1" s="2">
        <v>45505</v>
      </c>
      <c r="V1" s="2">
        <v>45536</v>
      </c>
      <c r="W1" s="2">
        <v>45566</v>
      </c>
      <c r="X1" s="2">
        <v>45597</v>
      </c>
      <c r="Y1" s="2">
        <v>45627</v>
      </c>
      <c r="Z1" s="2">
        <v>45658</v>
      </c>
      <c r="AA1" s="2">
        <v>45689</v>
      </c>
      <c r="AB1" s="2">
        <v>45717</v>
      </c>
      <c r="AC1" s="2">
        <v>45748</v>
      </c>
      <c r="AD1" s="2">
        <v>45778</v>
      </c>
      <c r="AE1" s="2">
        <v>45809</v>
      </c>
      <c r="AF1" s="2">
        <v>45839</v>
      </c>
      <c r="AG1" s="2">
        <v>45870</v>
      </c>
      <c r="AH1" s="2">
        <v>45901</v>
      </c>
      <c r="AI1" s="2">
        <v>45931</v>
      </c>
      <c r="AJ1" s="2">
        <v>45962</v>
      </c>
      <c r="AK1" s="2">
        <v>45992</v>
      </c>
      <c r="AL1" s="2">
        <v>46023</v>
      </c>
      <c r="AM1" s="2">
        <v>46054</v>
      </c>
      <c r="AN1" s="2">
        <v>46082</v>
      </c>
      <c r="AO1" s="2">
        <v>46113</v>
      </c>
      <c r="AP1" s="2">
        <v>46143</v>
      </c>
      <c r="AQ1" s="2">
        <v>46174</v>
      </c>
      <c r="AR1" s="2">
        <v>46204</v>
      </c>
      <c r="AS1" s="2">
        <v>46235</v>
      </c>
      <c r="AT1" s="2">
        <v>46266</v>
      </c>
      <c r="AU1" s="2">
        <v>46296</v>
      </c>
      <c r="AV1" s="2">
        <v>46327</v>
      </c>
      <c r="AW1" s="2">
        <v>46357</v>
      </c>
    </row>
    <row r="2" spans="1:49" x14ac:dyDescent="0.3">
      <c r="A2" s="9" t="s">
        <v>0</v>
      </c>
      <c r="B2" s="4">
        <v>0.06</v>
      </c>
      <c r="C2" s="4">
        <v>6.6000000000000003E-2</v>
      </c>
      <c r="D2" s="4">
        <v>7.6999999999999999E-2</v>
      </c>
      <c r="E2" s="4">
        <v>8.4000000000000005E-2</v>
      </c>
      <c r="F2" s="4">
        <v>7.8E-2</v>
      </c>
      <c r="G2" s="4">
        <v>0.06</v>
      </c>
      <c r="H2" s="4">
        <v>6.3E-2</v>
      </c>
      <c r="I2" s="4">
        <v>0.124</v>
      </c>
      <c r="J2" s="4">
        <v>0.127</v>
      </c>
      <c r="K2" s="4">
        <v>8.3000000000000004E-2</v>
      </c>
      <c r="L2" s="4">
        <v>0.128</v>
      </c>
      <c r="M2" s="4">
        <v>0.255</v>
      </c>
      <c r="N2" s="4">
        <v>0.20600000000000002</v>
      </c>
      <c r="O2" s="4">
        <v>0.13200000000000001</v>
      </c>
      <c r="P2" s="4">
        <v>0.11</v>
      </c>
      <c r="Q2" s="4">
        <v>8.8000000000000009E-2</v>
      </c>
      <c r="R2" s="4">
        <v>4.2000000000000003E-2</v>
      </c>
      <c r="S2" s="4">
        <v>4.5999999999999999E-2</v>
      </c>
      <c r="T2" s="4">
        <v>0.04</v>
      </c>
      <c r="U2" s="4">
        <v>4.2000000000000003E-2</v>
      </c>
      <c r="V2" s="4">
        <v>3.5000000000000003E-2</v>
      </c>
      <c r="W2" s="4">
        <v>2.7000000000000003E-2</v>
      </c>
      <c r="X2" s="4">
        <v>2.4E-2</v>
      </c>
      <c r="Y2" s="4">
        <v>2.7000000000000003E-2</v>
      </c>
      <c r="Z2" s="12">
        <v>2.2100000000000002E-2</v>
      </c>
      <c r="AA2" s="16">
        <v>2.4E-2</v>
      </c>
      <c r="AB2" s="16">
        <v>3.73E-2</v>
      </c>
      <c r="AC2" s="17">
        <v>2.7799999999999998E-2</v>
      </c>
      <c r="AD2" s="16">
        <v>1.4999999999999999E-2</v>
      </c>
      <c r="AE2" s="16">
        <v>1.6199999999999999E-2</v>
      </c>
      <c r="AF2" s="16">
        <v>1.9E-2</v>
      </c>
      <c r="AG2" s="16">
        <v>1.8800000000000001E-2</v>
      </c>
      <c r="AH2" s="16">
        <v>2.0799999999999999E-2</v>
      </c>
      <c r="AI2" s="16">
        <v>2.3400000000000001E-2</v>
      </c>
      <c r="AJ2" s="16">
        <v>2.5000000000000001E-2</v>
      </c>
      <c r="AK2" s="16">
        <v>2.8490000000000001E-2</v>
      </c>
      <c r="AL2" s="16">
        <v>2.8799999999999999E-2</v>
      </c>
      <c r="AM2" s="16">
        <v>2.9000000000000001E-2</v>
      </c>
      <c r="AN2" s="22">
        <v>3.4000000000000002E-2</v>
      </c>
      <c r="AO2" s="22"/>
      <c r="AP2" s="16"/>
      <c r="AQ2" s="16"/>
      <c r="AR2" s="22"/>
      <c r="AS2" s="22"/>
      <c r="AT2" s="16"/>
      <c r="AU2" s="16"/>
      <c r="AV2" s="22"/>
      <c r="AW2" s="22"/>
    </row>
    <row r="3" spans="1:49" x14ac:dyDescent="0.3">
      <c r="A3" s="9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>
        <f>+(1+N2)*(1+M2)*(1+L2)*(1+K2)*(1+J2)*(1+I2)*(1+H2)*(1+G2)*(1+F2)*(1+E2)*(1+D2)*(1+C2)-1</f>
        <v>2.5406165739751243</v>
      </c>
      <c r="O3" s="4">
        <f t="shared" ref="O3:Z3" si="0">+(1+O2)*(1+N2)*(1+M2)*(1+L2)*(1+K2)*(1+J2)*(1+I2)*(1+H2)*(1+G2)*(1+F2)*(1+E2)*(1+D2)-1</f>
        <v>2.7598292324013518</v>
      </c>
      <c r="P3" s="4">
        <f t="shared" si="0"/>
        <v>2.8750329136169923</v>
      </c>
      <c r="Q3" s="4">
        <f t="shared" si="0"/>
        <v>2.8893319280583825</v>
      </c>
      <c r="R3" s="4">
        <f t="shared" si="0"/>
        <v>2.7594470028171014</v>
      </c>
      <c r="S3" s="4">
        <f t="shared" si="0"/>
        <v>2.7097939291949893</v>
      </c>
      <c r="T3" s="4">
        <f t="shared" si="0"/>
        <v>2.6295255751296223</v>
      </c>
      <c r="U3" s="4">
        <f t="shared" si="0"/>
        <v>2.3647381221397392</v>
      </c>
      <c r="V3" s="4">
        <f t="shared" si="0"/>
        <v>2.0900656223732295</v>
      </c>
      <c r="W3" s="4">
        <f t="shared" si="0"/>
        <v>1.9302838358054535</v>
      </c>
      <c r="X3" s="4">
        <f t="shared" si="0"/>
        <v>1.6601158225751624</v>
      </c>
      <c r="Y3" s="4">
        <f t="shared" si="0"/>
        <v>1.1768437846889985</v>
      </c>
      <c r="Z3" s="10">
        <f t="shared" si="0"/>
        <v>0.84490218269537776</v>
      </c>
      <c r="AA3" s="10">
        <f t="shared" ref="AA3:AM3" si="1">+(1+AA2)*(1+Z2)*(1+Y2)*(1+X2)*(1+W2)*(1+V2)*(1+U2)*(1+T2)*(1+S2)*(1+R2)*(1+Q2)*(1+P2)-1</f>
        <v>0.66888678010606584</v>
      </c>
      <c r="AB3" s="10">
        <f t="shared" si="1"/>
        <v>0.55958221351713666</v>
      </c>
      <c r="AC3" s="10">
        <f t="shared" si="1"/>
        <v>0.47328915354128043</v>
      </c>
      <c r="AD3" s="10">
        <f t="shared" si="1"/>
        <v>0.43511371482188044</v>
      </c>
      <c r="AE3" s="10">
        <f t="shared" si="1"/>
        <v>0.39422806596749038</v>
      </c>
      <c r="AF3" s="10">
        <f t="shared" si="1"/>
        <v>0.36607538386622407</v>
      </c>
      <c r="AG3" s="10">
        <f t="shared" si="1"/>
        <v>0.33565988587611173</v>
      </c>
      <c r="AH3" s="10">
        <f t="shared" si="1"/>
        <v>0.31733489034042028</v>
      </c>
      <c r="AI3" s="10">
        <f t="shared" si="1"/>
        <v>0.31271716336357036</v>
      </c>
      <c r="AJ3" s="10">
        <f t="shared" si="1"/>
        <v>0.31399911371841727</v>
      </c>
      <c r="AK3" s="10">
        <f t="shared" si="1"/>
        <v>0.31590549996908934</v>
      </c>
      <c r="AL3" s="10">
        <f t="shared" si="1"/>
        <v>0.32453143368378745</v>
      </c>
      <c r="AM3" s="10">
        <f t="shared" si="1"/>
        <v>0.33099887232482139</v>
      </c>
      <c r="AN3" s="10">
        <f t="shared" ref="AN3" si="2">+(1+AN2)*(1+AM2)*(1+AL2)*(1+AK2)*(1+AJ2)*(1+AI2)*(1+AH2)*(1+AG2)*(1+AF2)*(1+AE2)*(1+AD2)*(1+AC2)-1</f>
        <v>0.32676451748179369</v>
      </c>
      <c r="AO3" s="10"/>
      <c r="AP3" s="10"/>
      <c r="AQ3" s="10"/>
      <c r="AR3" s="10"/>
      <c r="AS3" s="10"/>
      <c r="AT3" s="10"/>
      <c r="AU3" s="10"/>
      <c r="AV3" s="10"/>
      <c r="AW3" s="10"/>
    </row>
    <row r="4" spans="1:49" x14ac:dyDescent="0.3">
      <c r="A4" s="9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6">
        <f>+(1+N2)-1</f>
        <v>0.20599999999999996</v>
      </c>
      <c r="O4" s="6">
        <f>+(1+N4)*(1+O2)-1</f>
        <v>0.36519200000000018</v>
      </c>
      <c r="P4" s="6">
        <f t="shared" ref="P4:Y4" si="3">+(1+O4)*(1+P2)-1</f>
        <v>0.5153631200000004</v>
      </c>
      <c r="Q4" s="6">
        <f t="shared" si="3"/>
        <v>0.64871507456000055</v>
      </c>
      <c r="R4" s="6">
        <f t="shared" si="3"/>
        <v>0.71796110769152066</v>
      </c>
      <c r="S4" s="6">
        <f t="shared" si="3"/>
        <v>0.79698731864533068</v>
      </c>
      <c r="T4" s="6">
        <f t="shared" si="3"/>
        <v>0.86886681139114397</v>
      </c>
      <c r="U4" s="6">
        <f t="shared" si="3"/>
        <v>0.94735921746957219</v>
      </c>
      <c r="V4" s="6">
        <f t="shared" si="3"/>
        <v>1.0155167900810071</v>
      </c>
      <c r="W4" s="6">
        <f t="shared" si="3"/>
        <v>1.0699357434131942</v>
      </c>
      <c r="X4" s="6">
        <f t="shared" si="3"/>
        <v>1.1196142012551107</v>
      </c>
      <c r="Y4" s="6">
        <f t="shared" si="3"/>
        <v>1.1768437846889985</v>
      </c>
      <c r="Z4" s="11">
        <f>+(1+Z2)-1</f>
        <v>2.2100000000000009E-2</v>
      </c>
      <c r="AA4" s="11">
        <f t="shared" ref="AA4:AF4" si="4">+(1+AA2)*(1+Z4)-1</f>
        <v>4.6630399999999961E-2</v>
      </c>
      <c r="AB4" s="11">
        <f t="shared" si="4"/>
        <v>8.5669713920000001E-2</v>
      </c>
      <c r="AC4" s="11">
        <f t="shared" si="4"/>
        <v>0.11585133196697606</v>
      </c>
      <c r="AD4" s="11">
        <f t="shared" si="4"/>
        <v>0.13258910194648066</v>
      </c>
      <c r="AE4" s="11">
        <f t="shared" si="4"/>
        <v>0.15093704539801367</v>
      </c>
      <c r="AF4" s="11">
        <f t="shared" si="4"/>
        <v>0.17280484926057582</v>
      </c>
      <c r="AG4" s="11">
        <f t="shared" ref="AG4:AK4" si="5">+(1+AG2)*(1+AF4)-1</f>
        <v>0.19485358042667467</v>
      </c>
      <c r="AH4" s="11">
        <f t="shared" si="5"/>
        <v>0.2197065348995495</v>
      </c>
      <c r="AI4" s="11">
        <f t="shared" si="5"/>
        <v>0.24824766781619911</v>
      </c>
      <c r="AJ4" s="11">
        <f t="shared" si="5"/>
        <v>0.27945385951160406</v>
      </c>
      <c r="AK4" s="11">
        <f t="shared" si="5"/>
        <v>0.31590549996908956</v>
      </c>
      <c r="AL4" s="11">
        <f>+(1+AL2)-1</f>
        <v>2.8799999999999937E-2</v>
      </c>
      <c r="AM4" s="11">
        <f t="shared" ref="AM4" si="6">+(1+AM2)*(1+AL4)-1</f>
        <v>5.8635199999999887E-2</v>
      </c>
      <c r="AN4" s="11">
        <f t="shared" ref="AN4" si="7">+(1+AN2)*(1+AM4)-1</f>
        <v>9.4628796799999915E-2</v>
      </c>
      <c r="AO4" s="11"/>
      <c r="AP4" s="11"/>
      <c r="AQ4" s="11"/>
      <c r="AR4" s="11"/>
      <c r="AS4" s="11"/>
      <c r="AT4" s="11"/>
      <c r="AU4" s="11"/>
      <c r="AV4" s="11"/>
      <c r="AW4" s="11"/>
    </row>
    <row r="5" spans="1:49" x14ac:dyDescent="0.3">
      <c r="A5" s="7" t="s">
        <v>3</v>
      </c>
      <c r="Z5" s="8">
        <v>2.4126713586172809E-2</v>
      </c>
      <c r="AA5" s="8">
        <v>2.1611876931237273E-2</v>
      </c>
      <c r="AB5" s="8">
        <v>2.484605806148743E-2</v>
      </c>
      <c r="AC5" s="8">
        <v>2.2523598714633941E-2</v>
      </c>
      <c r="AD5" s="8">
        <v>2.1668762737068047E-2</v>
      </c>
      <c r="AE5" s="8">
        <v>2.0147784063629538E-2</v>
      </c>
      <c r="AF5" s="8">
        <v>1.663678289195545E-2</v>
      </c>
      <c r="AG5" s="8">
        <v>1.6105418643798261E-2</v>
      </c>
      <c r="AH5" s="8">
        <v>1.489101913644399E-2</v>
      </c>
      <c r="AI5" s="8">
        <v>1.4120351605967195E-2</v>
      </c>
      <c r="AJ5" s="8">
        <v>1.3518229631857981E-2</v>
      </c>
      <c r="AK5" s="8">
        <v>1.5359142051220475E-2</v>
      </c>
      <c r="AL5" s="8">
        <v>2.2443500189333332E-2</v>
      </c>
      <c r="AM5" s="8">
        <v>1.9854343071818669E-2</v>
      </c>
      <c r="AN5" s="8">
        <v>2.2566767397666665E-2</v>
      </c>
      <c r="AO5" s="8">
        <v>1.8508353880333336E-2</v>
      </c>
      <c r="AP5" s="8">
        <v>1.7400357333333335E-2</v>
      </c>
      <c r="AQ5" s="8">
        <v>1.6734340126266668E-2</v>
      </c>
      <c r="AR5" s="8">
        <v>1.6459823760600002E-2</v>
      </c>
      <c r="AS5" s="8">
        <v>1.6570618273733333E-2</v>
      </c>
      <c r="AT5" s="8">
        <v>1.6099733867993835E-2</v>
      </c>
      <c r="AU5" s="8">
        <v>1.5785369711999998E-2</v>
      </c>
      <c r="AV5" s="8">
        <v>1.4813698632497133E-2</v>
      </c>
      <c r="AW5" s="8">
        <v>1.5666789785585333E-2</v>
      </c>
    </row>
    <row r="6" spans="1:49" x14ac:dyDescent="0.3">
      <c r="A6" s="7" t="s">
        <v>4</v>
      </c>
      <c r="Z6" s="8">
        <f>+(1+Z5)*(1+Y2)*(1+X2)*(1+W2)*(1+V2)*(1+U2)*(1+T2)*(1+S2)*(1+R2)*(1+Q2)*(1+P2)*(1+O2)-1</f>
        <v>0.84856042388393926</v>
      </c>
      <c r="AA6" s="8">
        <f>+(1+AA5)*(1+Z5)*(1+Y2)*(1+X2)*(1+W2)*(1+V2)*(1+U2)*(1+T2)*(1+S2)*(1+R2)*(1+Q2)*(1+P2)-1</f>
        <v>0.66829618751313968</v>
      </c>
      <c r="AB6" s="8">
        <f>+(1+AB5)*(1+AA5)*(1+Z5)*(1+Y2)*(1+X2)*(1+W2)*(1+V2)*(1+U2)*(1+T2)*(1+S2)*(1+R2)*(1+Q2)-1</f>
        <v>0.54031240671337732</v>
      </c>
      <c r="AC6" s="8">
        <f>+(1+AC5)*(1+AB5)*(1+AA5)*(1+Z5)*(1+Y2)*(1+X2)*(1+W2)*(1+V2)*(1+U2)*(1+T2)*(1+S2)*(1+R2)-1</f>
        <v>0.44761561144978135</v>
      </c>
      <c r="AD6" s="8">
        <f>+(1+AD5)*(1+AC5)*(1+AB5)*(1+AA5)*(1+Z5)*(1+Y2)*(1+X2)*(1+W2)*(1+V2)*(1+U2)*(1+T2)*(1+S2)-1</f>
        <v>0.4193701062080244</v>
      </c>
      <c r="AE6" s="8">
        <f>+(1+AE5)*(1+AD5)*(1+AC5)*(1+AB5)*(1+AA5)*(1+Z5)*(1+Y2)*(1+X2)*(1+W2)*(1+V2)*(1+U2)*(1+T2)-1</f>
        <v>0.38428993175360882</v>
      </c>
      <c r="AF6" s="8">
        <f>+(1+AF5)*(1+AE5)*(1+AD5)*(1+AC5)*(1+AB5)*(1+AA5)*(1+Z5)*(1+Y2)*(1+X2)*(1+W2)*(1+V2)*(1+U2)-1</f>
        <v>0.3531923680843394</v>
      </c>
      <c r="AG6" s="8">
        <f>+(1+AG5)*(1+AF5)*(1+AE5)*(1+AD5)*(1+AC5)*(1+AB5)*(1+AA5)*(1+Z5)*(1+Y2)*(1+X2)*(1+W2)*(1+V2)-1</f>
        <v>0.31956439316500052</v>
      </c>
      <c r="AH6" s="8">
        <f>+(1+AH5)*(1+AG5)*(1+AF5)*(1+AE5)*(1+AD5)*(1+AC5)*(1+AB5)*(1+AA5)*(1+Z5)*(1+Y2)*(1+X2)*(1+W2)-1</f>
        <v>0.2939266200921653</v>
      </c>
      <c r="AI6" s="8">
        <f>+(1+AI5)*(1+AH5)*(1+AG5)*(1+AF5)*(1+AE5)*(1+AD5)*(1+AC5)*(1+AB5)*(1+AA5)*(1+Z5)*(1+Y2)*(1+X2)-1</f>
        <v>0.27769943419687149</v>
      </c>
      <c r="AJ6" s="8">
        <f>+(1+AJ5)*(1+AI5)*(1+AH5)*(1+AG5)*(1+AF5)*(1+AE5)*(1+AD5)*(1+AC5)*(1+AB5)*(1+AA5)*(1+Z5)*(1+Y2)-1</f>
        <v>0.26462077006722695</v>
      </c>
      <c r="AK6" s="8">
        <f>+(1+AK5)*(1+AJ5)*(1+AI5)*(1+AH5)*(1+AG5)*(1+AF5)*(1+AE5)*(1+AD5)*(1+AC5)*(1+AB5)*(1+AA5)*(1+Z5)-1</f>
        <v>0.25028652396846462</v>
      </c>
      <c r="AL6" s="8">
        <v>0.30599999999999999</v>
      </c>
      <c r="AM6" s="8">
        <v>0.3</v>
      </c>
      <c r="AN6" s="8">
        <v>0.28199999999999997</v>
      </c>
      <c r="AO6" s="8">
        <v>0.27</v>
      </c>
      <c r="AP6" s="8">
        <v>0.27300000000000002</v>
      </c>
      <c r="AQ6" s="8">
        <v>0.27400000000000002</v>
      </c>
      <c r="AR6" s="8">
        <v>0.27100000000000002</v>
      </c>
      <c r="AS6" s="8">
        <v>0.26800000000000002</v>
      </c>
      <c r="AT6" s="8">
        <v>0.26100000000000001</v>
      </c>
      <c r="AU6" s="8">
        <v>0.253</v>
      </c>
      <c r="AV6" s="8">
        <v>0.24399999999999999</v>
      </c>
      <c r="AW6" s="8">
        <v>0.23499999999999999</v>
      </c>
    </row>
    <row r="7" spans="1:49" x14ac:dyDescent="0.3">
      <c r="A7" s="7" t="s">
        <v>5</v>
      </c>
      <c r="Z7" s="8">
        <v>2.412671358617291E-2</v>
      </c>
      <c r="AA7" s="8">
        <v>4.6260014082189604E-2</v>
      </c>
      <c r="AB7" s="8">
        <v>7.2255451139488169E-2</v>
      </c>
      <c r="AC7" s="8">
        <v>9.6406502640532965E-2</v>
      </c>
      <c r="AD7" s="8">
        <v>0.12016427500962901</v>
      </c>
      <c r="AE7" s="8">
        <v>0.1427331029383152</v>
      </c>
      <c r="AF7" s="8">
        <v>0.16174450547535035</v>
      </c>
      <c r="AG7" s="8">
        <v>0.18045488709316326</v>
      </c>
      <c r="AH7" s="8">
        <v>0.19803306340657634</v>
      </c>
      <c r="AI7" s="8">
        <v>0.21494971149745123</v>
      </c>
      <c r="AJ7" s="8">
        <v>0.23137368068863329</v>
      </c>
      <c r="AK7" s="8">
        <v>0.25028652396846418</v>
      </c>
      <c r="AL7" s="8">
        <v>2.2443500189333332E-2</v>
      </c>
      <c r="AM7" s="8">
        <v>4.27434442136434E-2</v>
      </c>
      <c r="AN7" s="8">
        <v>6.6274792974654329E-2</v>
      </c>
      <c r="AO7" s="8">
        <v>8.6009784176708237E-2</v>
      </c>
      <c r="AP7" s="8">
        <v>0.10490674248887899</v>
      </c>
      <c r="AQ7" s="8">
        <v>0.1233966277254932</v>
      </c>
      <c r="AR7" s="8">
        <v>0.14188753823110711</v>
      </c>
      <c r="AS7" s="8">
        <v>0.16080932073866783</v>
      </c>
      <c r="AT7" s="8">
        <v>0.17949804187404705</v>
      </c>
      <c r="AU7" s="8">
        <v>0.19811685453960903</v>
      </c>
      <c r="AV7" s="8">
        <v>0.21586539654927428</v>
      </c>
      <c r="AW7" s="8">
        <v>0.23491410412457903</v>
      </c>
    </row>
    <row r="8" spans="1:49" x14ac:dyDescent="0.3">
      <c r="A8" s="15" t="s">
        <v>6</v>
      </c>
      <c r="B8" s="13">
        <v>100</v>
      </c>
      <c r="C8" s="13">
        <f>+B8*(1+C2)</f>
        <v>106.60000000000001</v>
      </c>
      <c r="D8" s="13">
        <f t="shared" ref="D8:AM8" si="8">+C8*(1+D2)</f>
        <v>114.8082</v>
      </c>
      <c r="E8" s="13">
        <f t="shared" si="8"/>
        <v>124.45208880000001</v>
      </c>
      <c r="F8" s="13">
        <f t="shared" si="8"/>
        <v>134.15935172640002</v>
      </c>
      <c r="G8" s="13">
        <f t="shared" si="8"/>
        <v>142.20891282998403</v>
      </c>
      <c r="H8" s="13">
        <f t="shared" si="8"/>
        <v>151.16807433827302</v>
      </c>
      <c r="I8" s="13">
        <f t="shared" si="8"/>
        <v>169.91291555621888</v>
      </c>
      <c r="J8" s="13">
        <f t="shared" si="8"/>
        <v>191.49185583185869</v>
      </c>
      <c r="K8" s="13">
        <f t="shared" si="8"/>
        <v>207.38567986590294</v>
      </c>
      <c r="L8" s="13">
        <f t="shared" si="8"/>
        <v>233.93104688873854</v>
      </c>
      <c r="M8" s="13">
        <f t="shared" si="8"/>
        <v>293.58346384536685</v>
      </c>
      <c r="N8" s="13">
        <f t="shared" si="8"/>
        <v>354.06165739751242</v>
      </c>
      <c r="O8" s="13">
        <f t="shared" si="8"/>
        <v>400.79779617398412</v>
      </c>
      <c r="P8" s="13">
        <f t="shared" si="8"/>
        <v>444.88555375312239</v>
      </c>
      <c r="Q8" s="13">
        <f t="shared" si="8"/>
        <v>484.03548248339717</v>
      </c>
      <c r="R8" s="13">
        <f t="shared" si="8"/>
        <v>504.36497274769988</v>
      </c>
      <c r="S8" s="13">
        <f t="shared" si="8"/>
        <v>527.56576149409409</v>
      </c>
      <c r="T8" s="13">
        <f t="shared" si="8"/>
        <v>548.66839195385785</v>
      </c>
      <c r="U8" s="13">
        <f t="shared" si="8"/>
        <v>571.71246441591995</v>
      </c>
      <c r="V8" s="13">
        <f t="shared" si="8"/>
        <v>591.7224006704771</v>
      </c>
      <c r="W8" s="13">
        <f t="shared" si="8"/>
        <v>607.69890548857995</v>
      </c>
      <c r="X8" s="13">
        <f t="shared" si="8"/>
        <v>622.28367922030588</v>
      </c>
      <c r="Y8" s="13">
        <f t="shared" si="8"/>
        <v>639.08533855925407</v>
      </c>
      <c r="Z8" s="13">
        <f t="shared" si="8"/>
        <v>653.20912454141364</v>
      </c>
      <c r="AA8" s="13">
        <f t="shared" si="8"/>
        <v>668.88614353040759</v>
      </c>
      <c r="AB8" s="13">
        <f t="shared" si="8"/>
        <v>693.83559668409191</v>
      </c>
      <c r="AC8" s="13">
        <f t="shared" si="8"/>
        <v>713.12422627190972</v>
      </c>
      <c r="AD8" s="13">
        <f t="shared" si="8"/>
        <v>723.82108966598832</v>
      </c>
      <c r="AE8" s="13">
        <f t="shared" si="8"/>
        <v>735.54699131857728</v>
      </c>
      <c r="AF8" s="13">
        <f t="shared" si="8"/>
        <v>749.52238415363013</v>
      </c>
      <c r="AG8" s="13">
        <f t="shared" si="8"/>
        <v>763.61340497571837</v>
      </c>
      <c r="AH8" s="13">
        <f t="shared" si="8"/>
        <v>779.49656379921328</v>
      </c>
      <c r="AI8" s="13">
        <f t="shared" si="8"/>
        <v>797.73678339211494</v>
      </c>
      <c r="AJ8" s="13">
        <f t="shared" si="8"/>
        <v>817.68020297691771</v>
      </c>
      <c r="AK8" s="13">
        <f t="shared" si="8"/>
        <v>840.97591195973007</v>
      </c>
      <c r="AL8" s="13">
        <f t="shared" si="8"/>
        <v>865.19601822417019</v>
      </c>
      <c r="AM8" s="13">
        <f t="shared" si="8"/>
        <v>890.28670275267109</v>
      </c>
      <c r="AN8" s="13">
        <f t="shared" ref="AN8" si="9">+AM8*(1+AN2)</f>
        <v>920.55645064626196</v>
      </c>
      <c r="AO8" s="13">
        <f t="shared" ref="AO8" si="10">+AN8*(1+AO2)</f>
        <v>920.55645064626196</v>
      </c>
    </row>
    <row r="9" spans="1:49" x14ac:dyDescent="0.3">
      <c r="A9" s="15" t="s">
        <v>7</v>
      </c>
      <c r="B9" s="14">
        <f>+B8</f>
        <v>100</v>
      </c>
      <c r="C9" s="14">
        <f t="shared" ref="C9:Y9" si="11">+C8</f>
        <v>106.60000000000001</v>
      </c>
      <c r="D9" s="14">
        <f t="shared" si="11"/>
        <v>114.8082</v>
      </c>
      <c r="E9" s="14">
        <f t="shared" si="11"/>
        <v>124.45208880000001</v>
      </c>
      <c r="F9" s="14">
        <f t="shared" si="11"/>
        <v>134.15935172640002</v>
      </c>
      <c r="G9" s="14">
        <f t="shared" si="11"/>
        <v>142.20891282998403</v>
      </c>
      <c r="H9" s="14">
        <f t="shared" si="11"/>
        <v>151.16807433827302</v>
      </c>
      <c r="I9" s="14">
        <f t="shared" si="11"/>
        <v>169.91291555621888</v>
      </c>
      <c r="J9" s="14">
        <f t="shared" si="11"/>
        <v>191.49185583185869</v>
      </c>
      <c r="K9" s="14">
        <f t="shared" si="11"/>
        <v>207.38567986590294</v>
      </c>
      <c r="L9" s="14">
        <f t="shared" si="11"/>
        <v>233.93104688873854</v>
      </c>
      <c r="M9" s="14">
        <f t="shared" si="11"/>
        <v>293.58346384536685</v>
      </c>
      <c r="N9" s="14">
        <f t="shared" si="11"/>
        <v>354.06165739751242</v>
      </c>
      <c r="O9" s="14">
        <f t="shared" si="11"/>
        <v>400.79779617398412</v>
      </c>
      <c r="P9" s="14">
        <f t="shared" si="11"/>
        <v>444.88555375312239</v>
      </c>
      <c r="Q9" s="14">
        <f t="shared" si="11"/>
        <v>484.03548248339717</v>
      </c>
      <c r="R9" s="14">
        <f t="shared" si="11"/>
        <v>504.36497274769988</v>
      </c>
      <c r="S9" s="14">
        <f t="shared" si="11"/>
        <v>527.56576149409409</v>
      </c>
      <c r="T9" s="14">
        <f t="shared" si="11"/>
        <v>548.66839195385785</v>
      </c>
      <c r="U9" s="14">
        <f t="shared" si="11"/>
        <v>571.71246441591995</v>
      </c>
      <c r="V9" s="14">
        <f t="shared" si="11"/>
        <v>591.7224006704771</v>
      </c>
      <c r="W9" s="14">
        <f t="shared" si="11"/>
        <v>607.69890548857995</v>
      </c>
      <c r="X9" s="14">
        <f t="shared" si="11"/>
        <v>622.28367922030588</v>
      </c>
      <c r="Y9" s="14">
        <f t="shared" si="11"/>
        <v>639.08533855925407</v>
      </c>
      <c r="Z9" s="13">
        <f>+Y9*(1+Z5)</f>
        <v>654.50436747979552</v>
      </c>
      <c r="AA9" s="13">
        <f t="shared" ref="AA9:AM9" si="12">+Z9*(1+AA5)</f>
        <v>668.64943532072607</v>
      </c>
      <c r="AB9" s="13">
        <f t="shared" si="12"/>
        <v>685.26273801348555</v>
      </c>
      <c r="AC9" s="13">
        <f t="shared" si="12"/>
        <v>700.69732093859261</v>
      </c>
      <c r="AD9" s="13">
        <f t="shared" si="12"/>
        <v>715.88056493651015</v>
      </c>
      <c r="AE9" s="13">
        <f t="shared" si="12"/>
        <v>730.30397197420007</v>
      </c>
      <c r="AF9" s="13">
        <f t="shared" si="12"/>
        <v>742.45388060106745</v>
      </c>
      <c r="AG9" s="13">
        <f t="shared" si="12"/>
        <v>754.41141117186032</v>
      </c>
      <c r="AH9" s="13">
        <f t="shared" si="12"/>
        <v>765.64536593237221</v>
      </c>
      <c r="AI9" s="13">
        <f t="shared" si="12"/>
        <v>776.45654770481667</v>
      </c>
      <c r="AJ9" s="13">
        <f t="shared" si="12"/>
        <v>786.95286561584999</v>
      </c>
      <c r="AK9" s="13">
        <f t="shared" si="12"/>
        <v>799.03978646645885</v>
      </c>
      <c r="AL9" s="13">
        <f t="shared" si="12"/>
        <v>816.97303606530363</v>
      </c>
      <c r="AM9" s="13">
        <f t="shared" si="12"/>
        <v>833.19349900376949</v>
      </c>
      <c r="AN9" s="13">
        <f t="shared" ref="AN9" si="13">+AM9*(1+AN5)</f>
        <v>851.99598289303549</v>
      </c>
      <c r="AO9" s="13">
        <f t="shared" ref="AO9" si="14">+AN9*(1+AO5)</f>
        <v>867.76502604904215</v>
      </c>
    </row>
    <row r="10" spans="1:49" x14ac:dyDescent="0.3">
      <c r="Z10" s="4"/>
      <c r="AA10" s="4"/>
      <c r="AB10" s="4"/>
      <c r="AK10" s="4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</row>
    <row r="11" spans="1:49" x14ac:dyDescent="0.3">
      <c r="AB11" s="4"/>
    </row>
  </sheetData>
  <pageMargins left="0.7" right="0.7" top="0.75" bottom="0.75" header="0.3" footer="0.3"/>
  <pageSetup paperSize="9" orientation="portrait" r:id="rId1"/>
  <ignoredErrors>
    <ignoredError sqref="Z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52F3B-8171-4E8C-8F43-80657C581D03}">
  <dimension ref="A1:AK9"/>
  <sheetViews>
    <sheetView workbookViewId="0">
      <selection activeCell="AD3" sqref="AD3"/>
    </sheetView>
  </sheetViews>
  <sheetFormatPr baseColWidth="10" defaultColWidth="11.44140625" defaultRowHeight="14.4" x14ac:dyDescent="0.3"/>
  <sheetData>
    <row r="1" spans="1:37" s="1" customFormat="1" ht="13.8" x14ac:dyDescent="0.3">
      <c r="B1" s="2">
        <v>44927</v>
      </c>
      <c r="C1" s="2">
        <v>44958</v>
      </c>
      <c r="D1" s="2">
        <v>44986</v>
      </c>
      <c r="E1" s="2">
        <v>45017</v>
      </c>
      <c r="F1" s="2">
        <v>45047</v>
      </c>
      <c r="G1" s="2">
        <v>45078</v>
      </c>
      <c r="H1" s="2">
        <v>45108</v>
      </c>
      <c r="I1" s="2">
        <v>45139</v>
      </c>
      <c r="J1" s="2">
        <v>45170</v>
      </c>
      <c r="K1" s="2">
        <v>45200</v>
      </c>
      <c r="L1" s="2">
        <v>45231</v>
      </c>
      <c r="M1" s="2">
        <v>45261</v>
      </c>
      <c r="N1" s="2">
        <v>45292</v>
      </c>
      <c r="O1" s="2">
        <v>45323</v>
      </c>
      <c r="P1" s="2">
        <v>45352</v>
      </c>
      <c r="Q1" s="2">
        <v>45383</v>
      </c>
      <c r="R1" s="2">
        <v>45413</v>
      </c>
      <c r="S1" s="2">
        <v>45444</v>
      </c>
      <c r="T1" s="2">
        <v>45474</v>
      </c>
      <c r="U1" s="2">
        <v>45505</v>
      </c>
      <c r="V1" s="2">
        <v>45536</v>
      </c>
      <c r="W1" s="2">
        <v>45566</v>
      </c>
      <c r="X1" s="2">
        <v>45597</v>
      </c>
      <c r="Y1" s="2">
        <v>45627</v>
      </c>
      <c r="Z1" s="2">
        <v>45658</v>
      </c>
      <c r="AA1" s="2">
        <v>45689</v>
      </c>
      <c r="AB1" s="2">
        <v>45717</v>
      </c>
      <c r="AC1" s="2">
        <v>45748</v>
      </c>
      <c r="AD1" s="2">
        <v>45778</v>
      </c>
      <c r="AE1" s="2">
        <v>45809</v>
      </c>
      <c r="AF1" s="2">
        <v>45839</v>
      </c>
      <c r="AG1" s="2">
        <v>45870</v>
      </c>
      <c r="AH1" s="2">
        <v>45901</v>
      </c>
      <c r="AI1" s="2">
        <v>45931</v>
      </c>
      <c r="AJ1" s="2">
        <v>45962</v>
      </c>
      <c r="AK1" s="2">
        <v>45992</v>
      </c>
    </row>
    <row r="2" spans="1:37" s="5" customFormat="1" x14ac:dyDescent="0.3">
      <c r="A2" s="9" t="s">
        <v>0</v>
      </c>
      <c r="B2" s="4">
        <v>0.06</v>
      </c>
      <c r="C2" s="4">
        <v>6.6000000000000003E-2</v>
      </c>
      <c r="D2" s="4">
        <v>7.6999999999999999E-2</v>
      </c>
      <c r="E2" s="4">
        <v>8.4000000000000005E-2</v>
      </c>
      <c r="F2" s="4">
        <v>7.8E-2</v>
      </c>
      <c r="G2" s="4">
        <v>0.06</v>
      </c>
      <c r="H2" s="4">
        <v>6.3E-2</v>
      </c>
      <c r="I2" s="4">
        <v>0.124</v>
      </c>
      <c r="J2" s="4">
        <v>0.127</v>
      </c>
      <c r="K2" s="4">
        <v>8.3000000000000004E-2</v>
      </c>
      <c r="L2" s="4">
        <v>0.128</v>
      </c>
      <c r="M2" s="4">
        <v>0.255</v>
      </c>
      <c r="N2" s="4">
        <v>0.20600000000000002</v>
      </c>
      <c r="O2" s="4">
        <v>0.13200000000000001</v>
      </c>
      <c r="P2" s="4">
        <v>0.11</v>
      </c>
      <c r="Q2" s="4">
        <v>8.8000000000000009E-2</v>
      </c>
      <c r="R2" s="4">
        <v>4.2000000000000003E-2</v>
      </c>
      <c r="S2" s="4">
        <v>4.5999999999999999E-2</v>
      </c>
      <c r="T2" s="4">
        <v>0.04</v>
      </c>
      <c r="U2" s="4">
        <v>4.2000000000000003E-2</v>
      </c>
      <c r="V2" s="4">
        <v>3.5000000000000003E-2</v>
      </c>
      <c r="W2" s="4">
        <v>2.7000000000000003E-2</v>
      </c>
      <c r="X2" s="4">
        <v>2.4E-2</v>
      </c>
      <c r="Y2" s="4">
        <v>2.7000000000000003E-2</v>
      </c>
      <c r="Z2" s="16">
        <v>2.1999999999999999E-2</v>
      </c>
      <c r="AA2" s="16">
        <v>2.4E-2</v>
      </c>
      <c r="AB2" s="16">
        <f>+IPC!AB2</f>
        <v>3.73E-2</v>
      </c>
      <c r="AC2" s="16">
        <v>2.8000000000000001E-2</v>
      </c>
      <c r="AD2" s="17">
        <f>+IPC!AD2</f>
        <v>1.4999999999999999E-2</v>
      </c>
      <c r="AE2" s="17">
        <f>+IPC!AE2</f>
        <v>1.6199999999999999E-2</v>
      </c>
      <c r="AF2" s="17">
        <f>+IPC!AF2</f>
        <v>1.9E-2</v>
      </c>
      <c r="AG2" s="17">
        <f>+IPC!AG2</f>
        <v>1.8800000000000001E-2</v>
      </c>
      <c r="AH2" s="17">
        <f>+IPC!AH2</f>
        <v>2.0799999999999999E-2</v>
      </c>
      <c r="AI2" s="17">
        <f>+IPC!AI2</f>
        <v>2.3400000000000001E-2</v>
      </c>
      <c r="AJ2" s="17">
        <f>+IPC!AJ2</f>
        <v>2.5000000000000001E-2</v>
      </c>
      <c r="AK2" s="17">
        <f>+IPC!AK2</f>
        <v>2.8490000000000001E-2</v>
      </c>
    </row>
    <row r="3" spans="1:37" s="5" customFormat="1" x14ac:dyDescent="0.3">
      <c r="A3" s="9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>
        <f>+(1+N2)*(1+M2)*(1+L2)*(1+K2)*(1+J2)*(1+I2)*(1+H2)*(1+G2)*(1+F2)*(1+E2)*(1+D2)*(1+C2)-1</f>
        <v>2.5406165739751243</v>
      </c>
      <c r="O3" s="4">
        <f t="shared" ref="O3:Z3" si="0">+(1+O2)*(1+N2)*(1+M2)*(1+L2)*(1+K2)*(1+J2)*(1+I2)*(1+H2)*(1+G2)*(1+F2)*(1+E2)*(1+D2)-1</f>
        <v>2.7598292324013518</v>
      </c>
      <c r="P3" s="4">
        <f t="shared" si="0"/>
        <v>2.8750329136169923</v>
      </c>
      <c r="Q3" s="4">
        <f t="shared" si="0"/>
        <v>2.8893319280583825</v>
      </c>
      <c r="R3" s="4">
        <f t="shared" si="0"/>
        <v>2.7594470028171014</v>
      </c>
      <c r="S3" s="4">
        <f t="shared" si="0"/>
        <v>2.7097939291949893</v>
      </c>
      <c r="T3" s="4">
        <f t="shared" si="0"/>
        <v>2.6295255751296223</v>
      </c>
      <c r="U3" s="4">
        <f t="shared" si="0"/>
        <v>2.3647381221397392</v>
      </c>
      <c r="V3" s="4">
        <f t="shared" si="0"/>
        <v>2.0900656223732295</v>
      </c>
      <c r="W3" s="4">
        <f t="shared" si="0"/>
        <v>1.9302838358054535</v>
      </c>
      <c r="X3" s="4">
        <f t="shared" si="0"/>
        <v>1.6601158225751624</v>
      </c>
      <c r="Y3" s="4">
        <f t="shared" si="0"/>
        <v>1.1768437846889985</v>
      </c>
      <c r="Z3" s="10">
        <f t="shared" si="0"/>
        <v>0.84472168155236793</v>
      </c>
      <c r="AA3" s="10">
        <f>+(1+AA2)*(1+Z2)*(1+Y2)*(1+X2)*(1+W2)*(1+V2)*(1+U2)*(1+T2)*(1+S2)*(1+R2)*(1+Q2)*(1+P2)-1</f>
        <v>0.66872349992016367</v>
      </c>
      <c r="AB3" s="10">
        <f t="shared" ref="AB3:AK3" si="1">+(1+AB2)*(1+AA2)*(1+Z2)*(1+Y2)*(1+X2)*(1+W2)*(1+V2)*(1+U2)*(1+T2)*(1+S2)*(1+R2)*(1+Q2)-1</f>
        <v>0.55942962744791513</v>
      </c>
      <c r="AC3" s="10">
        <f t="shared" si="1"/>
        <v>0.4734316700518908</v>
      </c>
      <c r="AD3" s="10">
        <f t="shared" si="1"/>
        <v>0.43525253848624601</v>
      </c>
      <c r="AE3" s="10">
        <f t="shared" si="1"/>
        <v>0.39436293461732608</v>
      </c>
      <c r="AF3" s="10">
        <f t="shared" si="1"/>
        <v>0.36620752920678346</v>
      </c>
      <c r="AG3" s="10">
        <f t="shared" si="1"/>
        <v>0.33578908901715132</v>
      </c>
      <c r="AH3" s="10">
        <f t="shared" si="1"/>
        <v>0.31746232083933101</v>
      </c>
      <c r="AI3" s="10">
        <f t="shared" si="1"/>
        <v>0.31284414717329323</v>
      </c>
      <c r="AJ3" s="10">
        <f t="shared" si="1"/>
        <v>0.31412622153576653</v>
      </c>
      <c r="AK3" s="10">
        <f t="shared" si="1"/>
        <v>0.31603279219797509</v>
      </c>
    </row>
    <row r="4" spans="1:37" s="5" customFormat="1" x14ac:dyDescent="0.3">
      <c r="A4" s="9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6">
        <f>+(1+N2)-1</f>
        <v>0.20599999999999996</v>
      </c>
      <c r="O4" s="6">
        <f>+(1+N4)*(1+O2)-1</f>
        <v>0.36519200000000018</v>
      </c>
      <c r="P4" s="6">
        <f t="shared" ref="P4:Y4" si="2">+(1+O4)*(1+P2)-1</f>
        <v>0.5153631200000004</v>
      </c>
      <c r="Q4" s="6">
        <f t="shared" si="2"/>
        <v>0.64871507456000055</v>
      </c>
      <c r="R4" s="6">
        <f t="shared" si="2"/>
        <v>0.71796110769152066</v>
      </c>
      <c r="S4" s="6">
        <f t="shared" si="2"/>
        <v>0.79698731864533068</v>
      </c>
      <c r="T4" s="6">
        <f t="shared" si="2"/>
        <v>0.86886681139114397</v>
      </c>
      <c r="U4" s="6">
        <f t="shared" si="2"/>
        <v>0.94735921746957219</v>
      </c>
      <c r="V4" s="6">
        <f t="shared" si="2"/>
        <v>1.0155167900810071</v>
      </c>
      <c r="W4" s="6">
        <f t="shared" si="2"/>
        <v>1.0699357434131942</v>
      </c>
      <c r="X4" s="6">
        <f t="shared" si="2"/>
        <v>1.1196142012551107</v>
      </c>
      <c r="Y4" s="6">
        <f t="shared" si="2"/>
        <v>1.1768437846889985</v>
      </c>
      <c r="Z4" s="11">
        <f>+(1+Z2)-1</f>
        <v>2.200000000000002E-2</v>
      </c>
      <c r="AA4" s="11">
        <f>+(1+Z4)*(1+AA2)-1</f>
        <v>4.6528000000000125E-2</v>
      </c>
      <c r="AB4" s="11">
        <f>+(1+AA4)*(1+AB2)-1</f>
        <v>8.5563494400000328E-2</v>
      </c>
      <c r="AC4" s="11">
        <f>+(1+AB4)*(1+AC2)-1</f>
        <v>0.11595927224320035</v>
      </c>
      <c r="AD4" s="11">
        <f t="shared" ref="AD4:AK4" si="3">+(1+AC4)*(1+AD2)-1</f>
        <v>0.13269866132684816</v>
      </c>
      <c r="AE4" s="11">
        <f t="shared" si="3"/>
        <v>0.15104837964034301</v>
      </c>
      <c r="AF4" s="11">
        <f t="shared" si="3"/>
        <v>0.1729182988535094</v>
      </c>
      <c r="AG4" s="11">
        <f t="shared" si="3"/>
        <v>0.1949691628719552</v>
      </c>
      <c r="AH4" s="11">
        <f t="shared" si="3"/>
        <v>0.21982452145969189</v>
      </c>
      <c r="AI4" s="11">
        <f t="shared" si="3"/>
        <v>0.24836841526184883</v>
      </c>
      <c r="AJ4" s="11">
        <f t="shared" si="3"/>
        <v>0.27957762564339483</v>
      </c>
      <c r="AK4" s="11">
        <f t="shared" si="3"/>
        <v>0.31603279219797509</v>
      </c>
    </row>
    <row r="5" spans="1:37" s="5" customFormat="1" x14ac:dyDescent="0.3">
      <c r="A5" s="7" t="s">
        <v>3</v>
      </c>
      <c r="Z5" s="8">
        <v>2.4126713586172809E-2</v>
      </c>
      <c r="AA5" s="8">
        <v>2.1611876931237273E-2</v>
      </c>
      <c r="AB5" s="8">
        <v>2.484605806148743E-2</v>
      </c>
      <c r="AC5" s="8">
        <v>2.2523598714633941E-2</v>
      </c>
      <c r="AD5" s="8">
        <v>2.1668762737068047E-2</v>
      </c>
      <c r="AE5" s="8">
        <v>2.0147784063629538E-2</v>
      </c>
      <c r="AF5" s="8">
        <v>1.663678289195545E-2</v>
      </c>
      <c r="AG5" s="8">
        <v>1.6105418643798261E-2</v>
      </c>
      <c r="AH5" s="8">
        <v>1.489101913644399E-2</v>
      </c>
      <c r="AI5" s="8">
        <v>1.4120351605967195E-2</v>
      </c>
      <c r="AJ5" s="8">
        <v>1.3518229631857981E-2</v>
      </c>
      <c r="AK5" s="8">
        <v>1.5359142051220475E-2</v>
      </c>
    </row>
    <row r="6" spans="1:37" s="5" customFormat="1" x14ac:dyDescent="0.3">
      <c r="A6" s="7" t="s">
        <v>4</v>
      </c>
      <c r="Z6" s="8">
        <f>+(1+Z5)*(1+Y2)*(1+X2)*(1+W2)*(1+V2)*(1+U2)*(1+T2)*(1+S2)*(1+R2)*(1+Q2)*(1+P2)*(1+O2)-1</f>
        <v>0.84856042388393926</v>
      </c>
      <c r="AA6" s="8">
        <f>+(1+AA5)*(1+Z5)*(1+Y2)*(1+X2)*(1+W2)*(1+V2)*(1+U2)*(1+T2)*(1+S2)*(1+R2)*(1+Q2)*(1+P2)-1</f>
        <v>0.66829618751313968</v>
      </c>
      <c r="AB6" s="8">
        <f>+(1+AB5)*(1+AA5)*(1+Z5)*(1+Y2)*(1+X2)*(1+W2)*(1+V2)*(1+U2)*(1+T2)*(1+S2)*(1+R2)*(1+Q2)-1</f>
        <v>0.54031240671337732</v>
      </c>
      <c r="AC6" s="8">
        <f>+(1+AC5)*(1+AB5)*(1+AA5)*(1+Z5)*(1+Y2)*(1+X2)*(1+W2)*(1+V2)*(1+U2)*(1+T2)*(1+S2)*(1+R2)-1</f>
        <v>0.44761561144978135</v>
      </c>
      <c r="AD6" s="8">
        <f>+(1+AD5)*(1+AC5)*(1+AB5)*(1+AA5)*(1+Z5)*(1+Y2)*(1+X2)*(1+W2)*(1+V2)*(1+U2)*(1+T2)*(1+S2)-1</f>
        <v>0.4193701062080244</v>
      </c>
      <c r="AE6" s="8">
        <f>+(1+AE5)*(1+AD5)*(1+AC5)*(1+AB5)*(1+AA5)*(1+Z5)*(1+Y2)*(1+X2)*(1+W2)*(1+V2)*(1+U2)*(1+T2)-1</f>
        <v>0.38428993175360882</v>
      </c>
      <c r="AF6" s="8">
        <f>+(1+AF5)*(1+AE5)*(1+AD5)*(1+AC5)*(1+AB5)*(1+AA5)*(1+Z5)*(1+Y2)*(1+X2)*(1+W2)*(1+V2)*(1+U2)-1</f>
        <v>0.3531923680843394</v>
      </c>
      <c r="AG6" s="8">
        <f>+(1+AG5)*(1+AF5)*(1+AE5)*(1+AD5)*(1+AC5)*(1+AB5)*(1+AA5)*(1+Z5)*(1+Y2)*(1+X2)*(1+W2)*(1+V2)-1</f>
        <v>0.31956439316500052</v>
      </c>
      <c r="AH6" s="8">
        <f>+(1+AH5)*(1+AG5)*(1+AF5)*(1+AE5)*(1+AD5)*(1+AC5)*(1+AB5)*(1+AA5)*(1+Z5)*(1+Y2)*(1+X2)*(1+W2)-1</f>
        <v>0.2939266200921653</v>
      </c>
      <c r="AI6" s="8">
        <f>+(1+AI5)*(1+AH5)*(1+AG5)*(1+AF5)*(1+AE5)*(1+AD5)*(1+AC5)*(1+AB5)*(1+AA5)*(1+Z5)*(1+Y2)*(1+X2)-1</f>
        <v>0.27769943419687149</v>
      </c>
      <c r="AJ6" s="8">
        <f>+(1+AJ5)*(1+AI5)*(1+AH5)*(1+AG5)*(1+AF5)*(1+AE5)*(1+AD5)*(1+AC5)*(1+AB5)*(1+AA5)*(1+Z5)*(1+Y2)-1</f>
        <v>0.26462077006722695</v>
      </c>
      <c r="AK6" s="8">
        <f>+(1+AK5)*(1+AJ5)*(1+AI5)*(1+AH5)*(1+AG5)*(1+AF5)*(1+AE5)*(1+AD5)*(1+AC5)*(1+AB5)*(1+AA5)*(1+Z5)-1</f>
        <v>0.25028652396846462</v>
      </c>
    </row>
    <row r="7" spans="1:37" s="5" customFormat="1" x14ac:dyDescent="0.3">
      <c r="A7" s="7" t="s">
        <v>5</v>
      </c>
      <c r="Z7" s="8">
        <v>2.412671358617291E-2</v>
      </c>
      <c r="AA7" s="8">
        <v>4.6260014082189604E-2</v>
      </c>
      <c r="AB7" s="8">
        <v>7.2255451139488169E-2</v>
      </c>
      <c r="AC7" s="8">
        <v>9.6406502640532965E-2</v>
      </c>
      <c r="AD7" s="8">
        <v>0.12016427500962901</v>
      </c>
      <c r="AE7" s="8">
        <v>0.1427331029383152</v>
      </c>
      <c r="AF7" s="8">
        <v>0.16174450547535035</v>
      </c>
      <c r="AG7" s="8">
        <v>0.18045488709316326</v>
      </c>
      <c r="AH7" s="8">
        <v>0.19803306340657634</v>
      </c>
      <c r="AI7" s="8">
        <v>0.21494971149745123</v>
      </c>
      <c r="AJ7" s="8">
        <v>0.23137368068863329</v>
      </c>
      <c r="AK7" s="8">
        <v>0.25028652396846418</v>
      </c>
    </row>
    <row r="8" spans="1:37" s="5" customFormat="1" x14ac:dyDescent="0.3">
      <c r="A8" s="15" t="s">
        <v>6</v>
      </c>
      <c r="B8" s="13">
        <v>100</v>
      </c>
      <c r="C8" s="13">
        <f>+B8*(1+C2)</f>
        <v>106.60000000000001</v>
      </c>
      <c r="D8" s="13">
        <f t="shared" ref="D8:AK8" si="4">+C8*(1+D2)</f>
        <v>114.8082</v>
      </c>
      <c r="E8" s="13">
        <f t="shared" si="4"/>
        <v>124.45208880000001</v>
      </c>
      <c r="F8" s="13">
        <f t="shared" si="4"/>
        <v>134.15935172640002</v>
      </c>
      <c r="G8" s="13">
        <f t="shared" si="4"/>
        <v>142.20891282998403</v>
      </c>
      <c r="H8" s="13">
        <f t="shared" si="4"/>
        <v>151.16807433827302</v>
      </c>
      <c r="I8" s="13">
        <f t="shared" si="4"/>
        <v>169.91291555621888</v>
      </c>
      <c r="J8" s="13">
        <f t="shared" si="4"/>
        <v>191.49185583185869</v>
      </c>
      <c r="K8" s="13">
        <f t="shared" si="4"/>
        <v>207.38567986590294</v>
      </c>
      <c r="L8" s="13">
        <f t="shared" si="4"/>
        <v>233.93104688873854</v>
      </c>
      <c r="M8" s="13">
        <f t="shared" si="4"/>
        <v>293.58346384536685</v>
      </c>
      <c r="N8" s="13">
        <f t="shared" si="4"/>
        <v>354.06165739751242</v>
      </c>
      <c r="O8" s="13">
        <f t="shared" si="4"/>
        <v>400.79779617398412</v>
      </c>
      <c r="P8" s="13">
        <f t="shared" si="4"/>
        <v>444.88555375312239</v>
      </c>
      <c r="Q8" s="13">
        <f t="shared" si="4"/>
        <v>484.03548248339717</v>
      </c>
      <c r="R8" s="13">
        <f t="shared" si="4"/>
        <v>504.36497274769988</v>
      </c>
      <c r="S8" s="13">
        <f t="shared" si="4"/>
        <v>527.56576149409409</v>
      </c>
      <c r="T8" s="13">
        <f t="shared" si="4"/>
        <v>548.66839195385785</v>
      </c>
      <c r="U8" s="13">
        <f t="shared" si="4"/>
        <v>571.71246441591995</v>
      </c>
      <c r="V8" s="13">
        <f t="shared" si="4"/>
        <v>591.7224006704771</v>
      </c>
      <c r="W8" s="13">
        <f t="shared" si="4"/>
        <v>607.69890548857995</v>
      </c>
      <c r="X8" s="13">
        <f t="shared" si="4"/>
        <v>622.28367922030588</v>
      </c>
      <c r="Y8" s="13">
        <f t="shared" si="4"/>
        <v>639.08533855925407</v>
      </c>
      <c r="Z8" s="13">
        <f t="shared" si="4"/>
        <v>653.14521600755768</v>
      </c>
      <c r="AA8" s="13">
        <f t="shared" si="4"/>
        <v>668.82070119173909</v>
      </c>
      <c r="AB8" s="13">
        <f t="shared" si="4"/>
        <v>693.76771334619104</v>
      </c>
      <c r="AC8" s="13">
        <f t="shared" si="4"/>
        <v>713.19320931988443</v>
      </c>
      <c r="AD8" s="13">
        <f t="shared" si="4"/>
        <v>723.89110745968264</v>
      </c>
      <c r="AE8" s="13">
        <f t="shared" si="4"/>
        <v>735.61814340052945</v>
      </c>
      <c r="AF8" s="13">
        <f t="shared" si="4"/>
        <v>749.59488812513939</v>
      </c>
      <c r="AG8" s="13">
        <f t="shared" si="4"/>
        <v>763.687272021892</v>
      </c>
      <c r="AH8" s="13">
        <f t="shared" si="4"/>
        <v>779.57196727994733</v>
      </c>
      <c r="AI8" s="13">
        <f t="shared" si="4"/>
        <v>797.81395131429815</v>
      </c>
      <c r="AJ8" s="13">
        <f t="shared" si="4"/>
        <v>817.75930009715557</v>
      </c>
      <c r="AK8" s="13">
        <f t="shared" si="4"/>
        <v>841.05726255692343</v>
      </c>
    </row>
    <row r="9" spans="1:37" s="5" customFormat="1" x14ac:dyDescent="0.3">
      <c r="A9" s="15" t="s">
        <v>7</v>
      </c>
      <c r="B9" s="14">
        <f>+B8</f>
        <v>100</v>
      </c>
      <c r="C9" s="14">
        <f t="shared" ref="C9:Y9" si="5">+C8</f>
        <v>106.60000000000001</v>
      </c>
      <c r="D9" s="14">
        <f t="shared" si="5"/>
        <v>114.8082</v>
      </c>
      <c r="E9" s="14">
        <f t="shared" si="5"/>
        <v>124.45208880000001</v>
      </c>
      <c r="F9" s="14">
        <f t="shared" si="5"/>
        <v>134.15935172640002</v>
      </c>
      <c r="G9" s="14">
        <f t="shared" si="5"/>
        <v>142.20891282998403</v>
      </c>
      <c r="H9" s="14">
        <f t="shared" si="5"/>
        <v>151.16807433827302</v>
      </c>
      <c r="I9" s="14">
        <f t="shared" si="5"/>
        <v>169.91291555621888</v>
      </c>
      <c r="J9" s="14">
        <f t="shared" si="5"/>
        <v>191.49185583185869</v>
      </c>
      <c r="K9" s="14">
        <f t="shared" si="5"/>
        <v>207.38567986590294</v>
      </c>
      <c r="L9" s="14">
        <f t="shared" si="5"/>
        <v>233.93104688873854</v>
      </c>
      <c r="M9" s="14">
        <f t="shared" si="5"/>
        <v>293.58346384536685</v>
      </c>
      <c r="N9" s="14">
        <f t="shared" si="5"/>
        <v>354.06165739751242</v>
      </c>
      <c r="O9" s="14">
        <f t="shared" si="5"/>
        <v>400.79779617398412</v>
      </c>
      <c r="P9" s="14">
        <f t="shared" si="5"/>
        <v>444.88555375312239</v>
      </c>
      <c r="Q9" s="14">
        <f t="shared" si="5"/>
        <v>484.03548248339717</v>
      </c>
      <c r="R9" s="14">
        <f t="shared" si="5"/>
        <v>504.36497274769988</v>
      </c>
      <c r="S9" s="14">
        <f t="shared" si="5"/>
        <v>527.56576149409409</v>
      </c>
      <c r="T9" s="14">
        <f t="shared" si="5"/>
        <v>548.66839195385785</v>
      </c>
      <c r="U9" s="14">
        <f t="shared" si="5"/>
        <v>571.71246441591995</v>
      </c>
      <c r="V9" s="14">
        <f t="shared" si="5"/>
        <v>591.7224006704771</v>
      </c>
      <c r="W9" s="14">
        <f t="shared" si="5"/>
        <v>607.69890548857995</v>
      </c>
      <c r="X9" s="14">
        <f t="shared" si="5"/>
        <v>622.28367922030588</v>
      </c>
      <c r="Y9" s="14">
        <f t="shared" si="5"/>
        <v>639.08533855925407</v>
      </c>
      <c r="Z9" s="13">
        <f>+Y9*(1+Z5)</f>
        <v>654.50436747979552</v>
      </c>
      <c r="AA9" s="13">
        <f t="shared" ref="AA9:AK9" si="6">+Z9*(1+AA5)</f>
        <v>668.64943532072607</v>
      </c>
      <c r="AB9" s="13">
        <f t="shared" si="6"/>
        <v>685.26273801348555</v>
      </c>
      <c r="AC9" s="13">
        <f t="shared" si="6"/>
        <v>700.69732093859261</v>
      </c>
      <c r="AD9" s="13">
        <f t="shared" si="6"/>
        <v>715.88056493651015</v>
      </c>
      <c r="AE9" s="13">
        <f t="shared" si="6"/>
        <v>730.30397197420007</v>
      </c>
      <c r="AF9" s="13">
        <f t="shared" si="6"/>
        <v>742.45388060106745</v>
      </c>
      <c r="AG9" s="13">
        <f t="shared" si="6"/>
        <v>754.41141117186032</v>
      </c>
      <c r="AH9" s="13">
        <f t="shared" si="6"/>
        <v>765.64536593237221</v>
      </c>
      <c r="AI9" s="13">
        <f t="shared" si="6"/>
        <v>776.45654770481667</v>
      </c>
      <c r="AJ9" s="13">
        <f t="shared" si="6"/>
        <v>786.95286561584999</v>
      </c>
      <c r="AK9" s="13">
        <f t="shared" si="6"/>
        <v>799.03978646645885</v>
      </c>
    </row>
  </sheetData>
  <pageMargins left="0.7" right="0.7" top="0.75" bottom="0.75" header="0.3" footer="0.3"/>
  <ignoredErrors>
    <ignoredError sqref="Z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8453-A551-4EAE-981C-0CD6ACA85DD7}">
  <dimension ref="A1:CG3"/>
  <sheetViews>
    <sheetView tabSelected="1" topLeftCell="BR1" workbookViewId="0">
      <selection activeCell="BZ7" sqref="BZ7"/>
    </sheetView>
  </sheetViews>
  <sheetFormatPr baseColWidth="10" defaultRowHeight="14.4" x14ac:dyDescent="0.3"/>
  <sheetData>
    <row r="1" spans="1:85" x14ac:dyDescent="0.3">
      <c r="B1" s="19">
        <v>44197</v>
      </c>
      <c r="C1" s="19">
        <v>44228</v>
      </c>
      <c r="D1" s="19">
        <v>44256</v>
      </c>
      <c r="E1" s="19">
        <v>44287</v>
      </c>
      <c r="F1" s="19">
        <v>44317</v>
      </c>
      <c r="G1" s="19">
        <v>44348</v>
      </c>
      <c r="H1" s="19">
        <v>44378</v>
      </c>
      <c r="I1" s="19">
        <v>44409</v>
      </c>
      <c r="J1" s="19">
        <v>44440</v>
      </c>
      <c r="K1" s="19">
        <v>44470</v>
      </c>
      <c r="L1" s="19">
        <v>44501</v>
      </c>
      <c r="M1" s="19">
        <v>44531</v>
      </c>
      <c r="N1" s="19">
        <v>44562</v>
      </c>
      <c r="O1" s="19">
        <v>44593</v>
      </c>
      <c r="P1" s="19">
        <v>44621</v>
      </c>
      <c r="Q1" s="19">
        <v>44652</v>
      </c>
      <c r="R1" s="19">
        <v>44682</v>
      </c>
      <c r="S1" s="19">
        <v>44713</v>
      </c>
      <c r="T1" s="19">
        <v>44743</v>
      </c>
      <c r="U1" s="19">
        <v>44774</v>
      </c>
      <c r="V1" s="19">
        <v>44805</v>
      </c>
      <c r="W1" s="19">
        <v>44835</v>
      </c>
      <c r="X1" s="19">
        <v>44866</v>
      </c>
      <c r="Y1" s="19">
        <v>44896</v>
      </c>
      <c r="Z1" s="19">
        <v>44927</v>
      </c>
      <c r="AA1" s="19">
        <v>44958</v>
      </c>
      <c r="AB1" s="19">
        <v>44986</v>
      </c>
      <c r="AC1" s="19">
        <v>45017</v>
      </c>
      <c r="AD1" s="19">
        <v>45047</v>
      </c>
      <c r="AE1" s="19">
        <v>45078</v>
      </c>
      <c r="AF1" s="19">
        <v>45108</v>
      </c>
      <c r="AG1" s="19">
        <v>45139</v>
      </c>
      <c r="AH1" s="19">
        <v>45170</v>
      </c>
      <c r="AI1" s="19">
        <v>45200</v>
      </c>
      <c r="AJ1" s="19">
        <v>45231</v>
      </c>
      <c r="AK1" s="19">
        <v>45261</v>
      </c>
      <c r="AL1" s="19">
        <v>45292</v>
      </c>
      <c r="AM1" s="19">
        <v>45323</v>
      </c>
      <c r="AN1" s="19">
        <v>45352</v>
      </c>
      <c r="AO1" s="19">
        <v>45383</v>
      </c>
      <c r="AP1" s="19">
        <v>45413</v>
      </c>
      <c r="AQ1" s="19">
        <v>45444</v>
      </c>
      <c r="AR1" s="19">
        <v>45474</v>
      </c>
      <c r="AS1" s="19">
        <v>45505</v>
      </c>
      <c r="AT1" s="19">
        <v>45536</v>
      </c>
      <c r="AU1" s="19">
        <v>45566</v>
      </c>
      <c r="AV1" s="19">
        <v>45597</v>
      </c>
      <c r="AW1" s="19">
        <v>45627</v>
      </c>
      <c r="AX1" s="19">
        <v>45658</v>
      </c>
      <c r="AY1" s="19">
        <v>45689</v>
      </c>
      <c r="AZ1" s="19">
        <v>45717</v>
      </c>
      <c r="BA1" s="19">
        <v>45748</v>
      </c>
      <c r="BB1" s="19">
        <v>45778</v>
      </c>
      <c r="BC1" s="19">
        <v>45809</v>
      </c>
      <c r="BD1" s="19">
        <v>45839</v>
      </c>
      <c r="BE1" s="19">
        <v>45870</v>
      </c>
      <c r="BF1" s="19">
        <v>45901</v>
      </c>
      <c r="BG1" s="19">
        <v>45931</v>
      </c>
      <c r="BH1" s="19">
        <v>45962</v>
      </c>
      <c r="BI1" s="19">
        <v>45992</v>
      </c>
      <c r="BJ1" s="19">
        <v>46023</v>
      </c>
      <c r="BK1" s="19">
        <v>46054</v>
      </c>
      <c r="BL1" s="19">
        <v>46082</v>
      </c>
      <c r="BM1" s="20">
        <v>46113</v>
      </c>
      <c r="BN1" s="20">
        <v>46143</v>
      </c>
      <c r="BO1" s="20">
        <v>46174</v>
      </c>
      <c r="BP1" s="20">
        <v>46204</v>
      </c>
      <c r="BQ1" s="20">
        <v>46235</v>
      </c>
      <c r="BR1" s="20">
        <v>46266</v>
      </c>
      <c r="BS1" s="20">
        <v>46296</v>
      </c>
      <c r="BT1" s="20">
        <v>46327</v>
      </c>
      <c r="BU1" s="20">
        <v>46357</v>
      </c>
      <c r="BV1" s="19">
        <v>46388</v>
      </c>
      <c r="BW1" s="20">
        <v>46419</v>
      </c>
      <c r="BX1" s="20">
        <v>46447</v>
      </c>
      <c r="BY1" s="20">
        <v>46478</v>
      </c>
      <c r="BZ1" s="20">
        <v>46508</v>
      </c>
      <c r="CA1" s="20">
        <v>46539</v>
      </c>
      <c r="CB1" s="20">
        <v>46569</v>
      </c>
      <c r="CC1" s="20">
        <v>46600</v>
      </c>
      <c r="CD1" s="20">
        <v>46631</v>
      </c>
      <c r="CE1" s="20">
        <v>46661</v>
      </c>
      <c r="CF1" s="19">
        <v>46692</v>
      </c>
      <c r="CG1" s="20">
        <v>46722</v>
      </c>
    </row>
    <row r="2" spans="1:85" x14ac:dyDescent="0.3">
      <c r="A2" t="s">
        <v>8</v>
      </c>
      <c r="B2" s="4">
        <v>4.0399999999999998E-2</v>
      </c>
      <c r="C2" s="4">
        <v>3.5700000000000003E-2</v>
      </c>
      <c r="D2" s="4">
        <v>4.8099999999999997E-2</v>
      </c>
      <c r="E2" s="4">
        <v>4.0800000000000003E-2</v>
      </c>
      <c r="F2" s="4">
        <v>3.32E-2</v>
      </c>
      <c r="G2" s="4">
        <v>3.1699999999999999E-2</v>
      </c>
      <c r="H2" s="4">
        <v>0.03</v>
      </c>
      <c r="I2" s="4">
        <v>2.47E-2</v>
      </c>
      <c r="J2" s="4">
        <v>3.5499999999999997E-2</v>
      </c>
      <c r="K2" s="4">
        <v>3.5200000000000002E-2</v>
      </c>
      <c r="L2" s="4">
        <v>2.53E-2</v>
      </c>
      <c r="M2" s="4">
        <v>3.8399999999999997E-2</v>
      </c>
      <c r="N2" s="4">
        <v>3.8800000000000001E-2</v>
      </c>
      <c r="O2" s="4">
        <v>4.6899999999999997E-2</v>
      </c>
      <c r="P2" s="4">
        <v>6.7299999999999999E-2</v>
      </c>
      <c r="Q2" s="4">
        <v>6.0499999999999998E-2</v>
      </c>
      <c r="R2" s="4">
        <v>5.0500000000000003E-2</v>
      </c>
      <c r="S2" s="4">
        <v>5.2999999999999999E-2</v>
      </c>
      <c r="T2" s="4">
        <v>7.4099999999999999E-2</v>
      </c>
      <c r="U2" s="4">
        <v>6.9699999999999998E-2</v>
      </c>
      <c r="V2" s="4">
        <v>6.1699999999999998E-2</v>
      </c>
      <c r="W2" s="4">
        <v>6.3500000000000001E-2</v>
      </c>
      <c r="X2" s="4">
        <v>4.9200000000000001E-2</v>
      </c>
      <c r="Y2" s="4">
        <v>5.1200000000000002E-2</v>
      </c>
      <c r="Z2" s="4">
        <v>0.06</v>
      </c>
      <c r="AA2" s="4">
        <v>6.6000000000000003E-2</v>
      </c>
      <c r="AB2" s="4">
        <v>7.6999999999999999E-2</v>
      </c>
      <c r="AC2" s="4">
        <v>8.4000000000000005E-2</v>
      </c>
      <c r="AD2" s="4">
        <v>7.8E-2</v>
      </c>
      <c r="AE2" s="4">
        <v>0.06</v>
      </c>
      <c r="AF2" s="4">
        <v>6.3E-2</v>
      </c>
      <c r="AG2" s="4">
        <v>0.124</v>
      </c>
      <c r="AH2" s="4">
        <v>0.127</v>
      </c>
      <c r="AI2" s="4">
        <v>8.3000000000000004E-2</v>
      </c>
      <c r="AJ2" s="4">
        <v>0.128</v>
      </c>
      <c r="AK2" s="4">
        <v>0.255</v>
      </c>
      <c r="AL2" s="4">
        <v>0.20600000000000002</v>
      </c>
      <c r="AM2" s="4">
        <v>0.13200000000000001</v>
      </c>
      <c r="AN2" s="4">
        <v>0.11</v>
      </c>
      <c r="AO2" s="4">
        <v>8.8000000000000009E-2</v>
      </c>
      <c r="AP2" s="4">
        <v>4.2000000000000003E-2</v>
      </c>
      <c r="AQ2" s="4">
        <v>4.5999999999999999E-2</v>
      </c>
      <c r="AR2" s="4">
        <v>0.04</v>
      </c>
      <c r="AS2" s="4">
        <v>4.2000000000000003E-2</v>
      </c>
      <c r="AT2" s="4">
        <v>3.5000000000000003E-2</v>
      </c>
      <c r="AU2" s="4">
        <v>2.7000000000000003E-2</v>
      </c>
      <c r="AV2" s="4">
        <v>2.4E-2</v>
      </c>
      <c r="AW2" s="4">
        <v>2.7000000000000003E-2</v>
      </c>
      <c r="AX2" s="18">
        <f>'[1]Resumen Pautas'!B2</f>
        <v>2.2100000000000002E-2</v>
      </c>
      <c r="AY2" s="18">
        <f>'[1]Resumen Pautas'!C2</f>
        <v>2.4E-2</v>
      </c>
      <c r="AZ2" s="18">
        <f>'[1]Resumen Pautas'!D2</f>
        <v>3.73E-2</v>
      </c>
      <c r="BA2" s="18">
        <f>'[1]Resumen Pautas'!E2</f>
        <v>2.7799999999999998E-2</v>
      </c>
      <c r="BB2" s="18">
        <f>'[1]Resumen Pautas'!F2</f>
        <v>1.4999999999999999E-2</v>
      </c>
      <c r="BC2" s="18">
        <f>'[1]Resumen Pautas'!G2</f>
        <v>1.6199999999999999E-2</v>
      </c>
      <c r="BD2" s="18">
        <f>'[1]Resumen Pautas'!H2</f>
        <v>1.9E-2</v>
      </c>
      <c r="BE2" s="18">
        <f>'[1]Resumen Pautas'!I2</f>
        <v>1.9E-2</v>
      </c>
      <c r="BF2" s="18">
        <f>'[1]Resumen Pautas'!J2</f>
        <v>2.1999999999999999E-2</v>
      </c>
      <c r="BG2" s="18">
        <f>'[1]Resumen Pautas'!K2</f>
        <v>2.1999999999999999E-2</v>
      </c>
      <c r="BH2" s="18">
        <f>'[1]Resumen Pautas'!L2</f>
        <v>2.1999999999999999E-2</v>
      </c>
      <c r="BI2" s="18">
        <f>'[1]Resumen Pautas'!M2</f>
        <v>2.3E-2</v>
      </c>
      <c r="BJ2" s="18">
        <v>2.8799999999999999E-2</v>
      </c>
      <c r="BK2" s="18">
        <v>2.9000000000000001E-2</v>
      </c>
      <c r="BL2" s="23">
        <v>3.4</v>
      </c>
      <c r="BM2" s="24">
        <v>2.58</v>
      </c>
      <c r="BN2" s="24">
        <v>2.15</v>
      </c>
      <c r="BO2" s="24">
        <v>1.89</v>
      </c>
      <c r="BP2" s="24">
        <v>2.1</v>
      </c>
      <c r="BQ2" s="24">
        <v>1.66</v>
      </c>
      <c r="BR2" s="25">
        <v>1.7941135008685331E-2</v>
      </c>
      <c r="BS2" s="25">
        <v>1.7741632872337668E-2</v>
      </c>
      <c r="BT2" s="25">
        <v>1.6766766533333335E-2</v>
      </c>
      <c r="BU2" s="26">
        <v>1.8646606675666668E-2</v>
      </c>
      <c r="BV2" s="25">
        <v>1.6978522750999998E-2</v>
      </c>
      <c r="BW2" s="25">
        <v>1.6166797882333332E-2</v>
      </c>
      <c r="BX2" s="25">
        <v>1.8417340000000001E-2</v>
      </c>
      <c r="BY2" s="25">
        <v>1.6978667925E-2</v>
      </c>
      <c r="BZ2" s="25">
        <v>1.5122849043291664E-2</v>
      </c>
      <c r="CA2" s="25">
        <v>1.6477400975000001E-2</v>
      </c>
      <c r="CB2" s="25">
        <v>1.7777374319673998E-2</v>
      </c>
      <c r="CC2" s="25">
        <v>1.8766162070633332E-2</v>
      </c>
      <c r="CD2" s="25">
        <v>1.8151390219999997E-2</v>
      </c>
      <c r="CE2" s="25">
        <v>1.7650344553000002E-2</v>
      </c>
      <c r="CF2" s="25">
        <v>1.7831109519666669E-2</v>
      </c>
      <c r="CG2" s="26">
        <v>1.9100131187000002E-2</v>
      </c>
    </row>
    <row r="3" spans="1:85" x14ac:dyDescent="0.3">
      <c r="A3" t="s">
        <v>9</v>
      </c>
      <c r="Z3">
        <v>187</v>
      </c>
      <c r="AA3">
        <v>197.15</v>
      </c>
      <c r="AB3">
        <v>209.01</v>
      </c>
      <c r="AC3">
        <v>222.68</v>
      </c>
      <c r="AD3">
        <v>239.5</v>
      </c>
      <c r="AE3">
        <v>256.7</v>
      </c>
      <c r="AF3">
        <v>275.25</v>
      </c>
      <c r="AG3">
        <v>350</v>
      </c>
      <c r="AH3">
        <v>365.5</v>
      </c>
      <c r="AI3">
        <v>350</v>
      </c>
      <c r="AJ3">
        <v>360.5</v>
      </c>
      <c r="AK3">
        <v>808.5</v>
      </c>
      <c r="AL3">
        <v>826.25</v>
      </c>
      <c r="AM3">
        <v>842.25</v>
      </c>
      <c r="AN3">
        <v>857.41669999999999</v>
      </c>
      <c r="AO3">
        <v>876.5</v>
      </c>
      <c r="AP3">
        <v>895.5</v>
      </c>
      <c r="AQ3">
        <v>912</v>
      </c>
      <c r="AR3">
        <v>932</v>
      </c>
      <c r="AS3">
        <v>953.5</v>
      </c>
      <c r="AT3">
        <v>970.5</v>
      </c>
      <c r="AU3">
        <v>992</v>
      </c>
      <c r="AV3">
        <v>1011.5</v>
      </c>
      <c r="AW3">
        <v>1039</v>
      </c>
      <c r="AX3">
        <f>'[1]Resumen Pautas'!B7</f>
        <v>1054</v>
      </c>
      <c r="AY3">
        <f>'[1]Resumen Pautas'!C7</f>
        <v>1065</v>
      </c>
      <c r="AZ3">
        <f>'[1]Resumen Pautas'!D7</f>
        <v>1074</v>
      </c>
      <c r="BA3">
        <f>'[1]Resumen Pautas'!E7</f>
        <v>1171</v>
      </c>
      <c r="BB3">
        <f>'[1]Resumen Pautas'!F7</f>
        <v>1188</v>
      </c>
      <c r="BC3">
        <f>'[1]Resumen Pautas'!G7</f>
        <v>1205</v>
      </c>
      <c r="BD3">
        <f>'[1]Resumen Pautas'!H7</f>
        <v>1374</v>
      </c>
      <c r="BE3">
        <f>'[1]Resumen Pautas'!I7</f>
        <v>1337</v>
      </c>
      <c r="BF3">
        <f>'[1]Resumen Pautas'!J7</f>
        <v>1450</v>
      </c>
      <c r="BG3">
        <f>'[1]Resumen Pautas'!K7</f>
        <v>1475</v>
      </c>
      <c r="BH3">
        <f>'[1]Resumen Pautas'!L7</f>
        <v>1452</v>
      </c>
      <c r="BI3">
        <f>'[1]Resumen Pautas'!M7</f>
        <v>1480</v>
      </c>
      <c r="BJ3" s="21">
        <v>1475</v>
      </c>
      <c r="BK3" s="21">
        <v>1420</v>
      </c>
      <c r="BL3" s="21">
        <v>1400</v>
      </c>
      <c r="BM3" s="21">
        <v>1430</v>
      </c>
      <c r="BN3" s="21">
        <v>1450</v>
      </c>
      <c r="BO3" s="21">
        <v>1470</v>
      </c>
      <c r="BP3" s="21">
        <v>1490</v>
      </c>
      <c r="BQ3" s="21">
        <v>1510</v>
      </c>
      <c r="BR3" s="21">
        <v>1530</v>
      </c>
      <c r="BS3" s="21">
        <v>1550</v>
      </c>
      <c r="BT3" s="21">
        <v>1570</v>
      </c>
      <c r="BU3" s="21">
        <v>1600</v>
      </c>
      <c r="BV3" s="21">
        <v>1614.44444444444</v>
      </c>
      <c r="BW3" s="21">
        <v>1635.1111111111099</v>
      </c>
      <c r="BX3" s="21">
        <v>1655.7777777777801</v>
      </c>
      <c r="BY3" s="21">
        <v>1676.44444444444</v>
      </c>
      <c r="BZ3" s="21">
        <v>1697.1111111111099</v>
      </c>
      <c r="CA3" s="21">
        <v>1717.7777777777801</v>
      </c>
      <c r="CB3" s="21">
        <v>1738.44444444444</v>
      </c>
      <c r="CC3" s="21">
        <v>1759.1111111111099</v>
      </c>
      <c r="CD3" s="21">
        <v>1779.7777777777801</v>
      </c>
      <c r="CE3" s="21">
        <v>1800.44444444444</v>
      </c>
      <c r="CF3" s="21">
        <v>1821.1111111111099</v>
      </c>
      <c r="CG3" s="21">
        <v>1841.7777777777801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32BB-3460-4DC2-96A6-1210EE8B5469}">
  <dimension ref="A1:A2"/>
  <sheetViews>
    <sheetView workbookViewId="0">
      <selection activeCell="A3" sqref="A3"/>
    </sheetView>
  </sheetViews>
  <sheetFormatPr baseColWidth="10" defaultRowHeight="14.4" x14ac:dyDescent="0.3"/>
  <sheetData>
    <row r="1" spans="1:1" x14ac:dyDescent="0.3">
      <c r="A1" t="s">
        <v>10</v>
      </c>
    </row>
    <row r="2" spans="1:1" x14ac:dyDescent="0.3">
      <c r="A2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E8A0A3F7A044EAC1D8300FB25DCEE" ma:contentTypeVersion="14" ma:contentTypeDescription="Create a new document." ma:contentTypeScope="" ma:versionID="73702fa23d3410e8aedc2854b133fdd8">
  <xsd:schema xmlns:xsd="http://www.w3.org/2001/XMLSchema" xmlns:xs="http://www.w3.org/2001/XMLSchema" xmlns:p="http://schemas.microsoft.com/office/2006/metadata/properties" xmlns:ns2="dd3ed0ad-465b-4b94-9e03-9fde07fe233a" xmlns:ns3="12e925e7-9bc7-4479-8e5e-5ed9012e158e" targetNamespace="http://schemas.microsoft.com/office/2006/metadata/properties" ma:root="true" ma:fieldsID="29d7ad22752d16cb4316e7690fb516c1" ns2:_="" ns3:_="">
    <xsd:import namespace="dd3ed0ad-465b-4b94-9e03-9fde07fe233a"/>
    <xsd:import namespace="12e925e7-9bc7-4479-8e5e-5ed9012e15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3ed0ad-465b-4b94-9e03-9fde07fe2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43bcf6-9966-4633-aac5-578b950926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e925e7-9bc7-4479-8e5e-5ed9012e158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513ddf2-b1ac-479c-b332-41f56baad9f3}" ma:internalName="TaxCatchAll" ma:showField="CatchAllData" ma:web="12e925e7-9bc7-4479-8e5e-5ed9012e15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3ed0ad-465b-4b94-9e03-9fde07fe233a">
      <Terms xmlns="http://schemas.microsoft.com/office/infopath/2007/PartnerControls"/>
    </lcf76f155ced4ddcb4097134ff3c332f>
    <TaxCatchAll xmlns="12e925e7-9bc7-4479-8e5e-5ed9012e158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3155F2-060D-48C0-AE23-D24D9B3AA2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3ed0ad-465b-4b94-9e03-9fde07fe233a"/>
    <ds:schemaRef ds:uri="12e925e7-9bc7-4479-8e5e-5ed9012e15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571B10-6268-4B6F-AD0A-74EA79A3E4A5}">
  <ds:schemaRefs>
    <ds:schemaRef ds:uri="http://schemas.microsoft.com/office/2006/metadata/properties"/>
    <ds:schemaRef ds:uri="http://schemas.microsoft.com/office/infopath/2007/PartnerControls"/>
    <ds:schemaRef ds:uri="dd3ed0ad-465b-4b94-9e03-9fde07fe233a"/>
    <ds:schemaRef ds:uri="12e925e7-9bc7-4479-8e5e-5ed9012e158e"/>
  </ds:schemaRefs>
</ds:datastoreItem>
</file>

<file path=customXml/itemProps3.xml><?xml version="1.0" encoding="utf-8"?>
<ds:datastoreItem xmlns:ds="http://schemas.openxmlformats.org/officeDocument/2006/customXml" ds:itemID="{8891529D-FF05-405E-9396-D68A841F8E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IPC</vt:lpstr>
      <vt:lpstr>Hoja1</vt:lpstr>
      <vt:lpstr>pautas_py</vt:lpstr>
      <vt:lpstr>notes</vt:lpstr>
    </vt:vector>
  </TitlesOfParts>
  <Manager/>
  <Company>Farmacity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Sofía Denardi</dc:creator>
  <cp:keywords/>
  <dc:description/>
  <cp:lastModifiedBy>Cristian Burich</cp:lastModifiedBy>
  <cp:revision/>
  <dcterms:created xsi:type="dcterms:W3CDTF">2025-02-18T12:50:07Z</dcterms:created>
  <dcterms:modified xsi:type="dcterms:W3CDTF">2026-09-16T14:53:47Z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0x010100D20E8A0A3F7A044EAC1D8300FB25DCEE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